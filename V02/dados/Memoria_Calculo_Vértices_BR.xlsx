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TCC/V02/dados/"/>
    </mc:Choice>
  </mc:AlternateContent>
  <xr:revisionPtr revIDLastSave="18" documentId="8_{25501033-1950-46B4-883C-D1680ED1DF09}" xr6:coauthVersionLast="47" xr6:coauthVersionMax="47" xr10:uidLastSave="{66F98CDF-A9A4-4AB8-B753-54518FF9F291}"/>
  <bookViews>
    <workbookView xWindow="-120" yWindow="-120" windowWidth="29040" windowHeight="15840" xr2:uid="{342FA08E-E223-486A-A800-A1A413205353}"/>
  </bookViews>
  <sheets>
    <sheet name="Memoria_Calculo_Vértices_BR" sheetId="1" r:id="rId1"/>
  </sheets>
  <definedNames>
    <definedName name="_xlnm._FilterDatabase" localSheetId="0" hidden="1">Memoria_Calculo_Vértices_BR!$A$1:$H$61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G87" i="1" s="1"/>
  <c r="H67" i="1"/>
  <c r="H68" i="1" s="1"/>
  <c r="G63" i="1"/>
  <c r="G66" i="1"/>
  <c r="G65" i="1"/>
  <c r="G64" i="1"/>
</calcChain>
</file>

<file path=xl/sharedStrings.xml><?xml version="1.0" encoding="utf-8"?>
<sst xmlns="http://schemas.openxmlformats.org/spreadsheetml/2006/main" count="141" uniqueCount="39">
  <si>
    <t>ID_QUADRA</t>
  </si>
  <si>
    <t>VERTICE</t>
  </si>
  <si>
    <t>LON_AJUSTADO</t>
  </si>
  <si>
    <t>LAT_AJUSTADO</t>
  </si>
  <si>
    <t>LON_OFICIAL</t>
  </si>
  <si>
    <t>LAT_OFICIAL</t>
  </si>
  <si>
    <t>DISTANCIA_METROS</t>
  </si>
  <si>
    <t>ERRO_QUADRATICO</t>
  </si>
  <si>
    <t>01.06.004.1.0023</t>
  </si>
  <si>
    <t>V1</t>
  </si>
  <si>
    <t>V2</t>
  </si>
  <si>
    <t>V3</t>
  </si>
  <si>
    <t>V4</t>
  </si>
  <si>
    <t>01.06.004.1.0018</t>
  </si>
  <si>
    <t>01.06.002.3.0029</t>
  </si>
  <si>
    <t>01.05.004.1.0019</t>
  </si>
  <si>
    <t>01.04.004.1.0029</t>
  </si>
  <si>
    <t>01.04.004.1.0022</t>
  </si>
  <si>
    <t>01.04.004.0.0036</t>
  </si>
  <si>
    <t>01.04.001.1.0005</t>
  </si>
  <si>
    <t>01.03.002.3.0065</t>
  </si>
  <si>
    <t>01.03.002.3.0054</t>
  </si>
  <si>
    <t>01.03.002.3.0053</t>
  </si>
  <si>
    <t>01.03.002.0.0034</t>
  </si>
  <si>
    <t>01.03.001.2.0048</t>
  </si>
  <si>
    <t>01.03.001.0.0046</t>
  </si>
  <si>
    <t>01.02.002.0.0033</t>
  </si>
  <si>
    <t>EQM</t>
  </si>
  <si>
    <t>Erro Máximo</t>
  </si>
  <si>
    <t>Erro Mínimo</t>
  </si>
  <si>
    <t>Erro Médio</t>
  </si>
  <si>
    <t>Amostra</t>
  </si>
  <si>
    <t>REQM</t>
  </si>
  <si>
    <t>Amostras</t>
  </si>
  <si>
    <t>Erro Máximo(m)</t>
  </si>
  <si>
    <t>Erro Mínimo(m)</t>
  </si>
  <si>
    <t>Erro Médio(m)</t>
  </si>
  <si>
    <t>REQM(m)</t>
  </si>
  <si>
    <t>EMQ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</si>
</sst>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A1A3-6C58-4C7C-9C4C-CA2B369AF196}">
  <sheetPr filterMode="1"/>
  <dimension ref="A1:H87"/>
  <sheetViews>
    <sheetView tabSelected="1" zoomScale="115" zoomScaleNormal="115" workbookViewId="0">
      <selection activeCell="C34" sqref="C34:C37"/>
    </sheetView>
  </sheetViews>
  <sheetFormatPr defaultRowHeight="15" x14ac:dyDescent="0.25"/>
  <cols>
    <col min="1" max="1" width="16.7109375" bestFit="1" customWidth="1"/>
    <col min="2" max="2" width="8.28515625" bestFit="1" customWidth="1"/>
    <col min="3" max="3" width="14.85546875" bestFit="1" customWidth="1"/>
    <col min="4" max="6" width="14" bestFit="1" customWidth="1"/>
    <col min="7" max="7" width="18.5703125" bestFit="1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>
        <v>-53.812016579999998</v>
      </c>
      <c r="D2">
        <v>-25.658954210000001</v>
      </c>
      <c r="E2">
        <v>-53.812007819999998</v>
      </c>
      <c r="F2">
        <v>-25.658949329999999</v>
      </c>
      <c r="G2">
        <v>1.032</v>
      </c>
      <c r="H2">
        <v>1.0650500000000001</v>
      </c>
    </row>
    <row r="3" spans="1:8" hidden="1" x14ac:dyDescent="0.25">
      <c r="A3" t="s">
        <v>8</v>
      </c>
      <c r="B3" t="s">
        <v>10</v>
      </c>
      <c r="C3">
        <v>-53.810865239999998</v>
      </c>
      <c r="D3">
        <v>-25.659237999999998</v>
      </c>
      <c r="E3">
        <v>-53.810856250000001</v>
      </c>
      <c r="F3">
        <v>-25.65923682</v>
      </c>
      <c r="G3">
        <v>0.91110000000000002</v>
      </c>
      <c r="H3">
        <v>0.83007799999999998</v>
      </c>
    </row>
    <row r="4" spans="1:8" hidden="1" x14ac:dyDescent="0.25">
      <c r="A4" t="s">
        <v>8</v>
      </c>
      <c r="B4" t="s">
        <v>11</v>
      </c>
      <c r="C4">
        <v>-53.81123427</v>
      </c>
      <c r="D4">
        <v>-25.660454390000002</v>
      </c>
      <c r="E4">
        <v>-53.811226320000003</v>
      </c>
      <c r="F4">
        <v>-25.660454470000001</v>
      </c>
      <c r="G4">
        <v>0.79620000000000002</v>
      </c>
      <c r="H4">
        <v>0.63387700000000002</v>
      </c>
    </row>
    <row r="5" spans="1:8" hidden="1" x14ac:dyDescent="0.25">
      <c r="A5" t="s">
        <v>8</v>
      </c>
      <c r="B5" t="s">
        <v>12</v>
      </c>
      <c r="C5">
        <v>-53.81238561</v>
      </c>
      <c r="D5">
        <v>-25.660170600000001</v>
      </c>
      <c r="E5">
        <v>-53.812377910000002</v>
      </c>
      <c r="F5">
        <v>-25.660166969999999</v>
      </c>
      <c r="G5">
        <v>0.87039999999999995</v>
      </c>
      <c r="H5">
        <v>0.75752200000000003</v>
      </c>
    </row>
    <row r="6" spans="1:8" hidden="1" x14ac:dyDescent="0.25">
      <c r="A6" t="s">
        <v>13</v>
      </c>
      <c r="B6" t="s">
        <v>9</v>
      </c>
      <c r="C6">
        <v>-53.811600429999999</v>
      </c>
      <c r="D6">
        <v>-25.65756141</v>
      </c>
      <c r="E6">
        <v>-53.811583310000003</v>
      </c>
      <c r="F6">
        <v>-25.657568220000002</v>
      </c>
      <c r="G6">
        <v>1.8753</v>
      </c>
      <c r="H6">
        <v>3.5168509999999999</v>
      </c>
    </row>
    <row r="7" spans="1:8" hidden="1" x14ac:dyDescent="0.25">
      <c r="A7" t="s">
        <v>13</v>
      </c>
      <c r="B7" t="s">
        <v>10</v>
      </c>
      <c r="C7">
        <v>-53.810446319999997</v>
      </c>
      <c r="D7">
        <v>-25.65783587</v>
      </c>
      <c r="E7">
        <v>-53.810431749999999</v>
      </c>
      <c r="F7">
        <v>-25.65785571</v>
      </c>
      <c r="G7">
        <v>2.6457000000000002</v>
      </c>
      <c r="H7">
        <v>6.9995349999999998</v>
      </c>
    </row>
    <row r="8" spans="1:8" hidden="1" x14ac:dyDescent="0.25">
      <c r="A8" t="s">
        <v>13</v>
      </c>
      <c r="B8" t="s">
        <v>11</v>
      </c>
      <c r="C8">
        <v>-53.810803219999997</v>
      </c>
      <c r="D8">
        <v>-25.659055290000001</v>
      </c>
      <c r="E8">
        <v>-53.810801810000001</v>
      </c>
      <c r="F8">
        <v>-25.659073360000001</v>
      </c>
      <c r="G8">
        <v>2.0146000000000002</v>
      </c>
      <c r="H8">
        <v>4.0585800000000001</v>
      </c>
    </row>
    <row r="9" spans="1:8" hidden="1" x14ac:dyDescent="0.25">
      <c r="A9" t="s">
        <v>13</v>
      </c>
      <c r="B9" t="s">
        <v>12</v>
      </c>
      <c r="C9">
        <v>-53.811957329999998</v>
      </c>
      <c r="D9">
        <v>-25.658780830000001</v>
      </c>
      <c r="E9">
        <v>-53.811953389999999</v>
      </c>
      <c r="F9">
        <v>-25.658785869999999</v>
      </c>
      <c r="G9">
        <v>0.68569999999999998</v>
      </c>
      <c r="H9">
        <v>0.47018799999999999</v>
      </c>
    </row>
    <row r="10" spans="1:8" hidden="1" x14ac:dyDescent="0.25">
      <c r="A10" t="s">
        <v>14</v>
      </c>
      <c r="B10" t="s">
        <v>9</v>
      </c>
      <c r="C10">
        <v>-53.795422979999998</v>
      </c>
      <c r="D10">
        <v>-25.67760912</v>
      </c>
      <c r="E10">
        <v>-53.795400119999996</v>
      </c>
      <c r="F10">
        <v>-25.677629249999999</v>
      </c>
      <c r="G10">
        <v>3.2033999999999998</v>
      </c>
      <c r="H10">
        <v>10.261507999999999</v>
      </c>
    </row>
    <row r="11" spans="1:8" hidden="1" x14ac:dyDescent="0.25">
      <c r="A11" t="s">
        <v>14</v>
      </c>
      <c r="B11" t="s">
        <v>10</v>
      </c>
      <c r="C11">
        <v>-53.794466620000001</v>
      </c>
      <c r="D11">
        <v>-25.67785611</v>
      </c>
      <c r="E11">
        <v>-53.794440280000003</v>
      </c>
      <c r="F11">
        <v>-25.677868740000001</v>
      </c>
      <c r="G11">
        <v>2.99</v>
      </c>
      <c r="H11">
        <v>8.9399639999999998</v>
      </c>
    </row>
    <row r="12" spans="1:8" hidden="1" x14ac:dyDescent="0.25">
      <c r="A12" t="s">
        <v>14</v>
      </c>
      <c r="B12" t="s">
        <v>11</v>
      </c>
      <c r="C12">
        <v>-53.794797019999997</v>
      </c>
      <c r="D12">
        <v>-25.678895229999998</v>
      </c>
      <c r="E12">
        <v>-53.794757410000003</v>
      </c>
      <c r="F12">
        <v>-25.678912480000001</v>
      </c>
      <c r="G12">
        <v>4.4080000000000004</v>
      </c>
      <c r="H12">
        <v>19.430807999999999</v>
      </c>
    </row>
    <row r="13" spans="1:8" hidden="1" x14ac:dyDescent="0.25">
      <c r="A13" t="s">
        <v>14</v>
      </c>
      <c r="B13" t="s">
        <v>12</v>
      </c>
      <c r="C13">
        <v>-53.795753380000001</v>
      </c>
      <c r="D13">
        <v>-25.678648240000001</v>
      </c>
      <c r="E13">
        <v>-53.795717260000004</v>
      </c>
      <c r="F13">
        <v>-25.678672989999999</v>
      </c>
      <c r="G13">
        <v>4.5472000000000001</v>
      </c>
      <c r="H13">
        <v>20.677295000000001</v>
      </c>
    </row>
    <row r="14" spans="1:8" hidden="1" x14ac:dyDescent="0.25">
      <c r="A14" t="s">
        <v>15</v>
      </c>
      <c r="B14" t="s">
        <v>9</v>
      </c>
      <c r="C14">
        <v>-53.810249110000001</v>
      </c>
      <c r="D14">
        <v>-25.657897999999999</v>
      </c>
      <c r="E14">
        <v>-53.81024412</v>
      </c>
      <c r="F14">
        <v>-25.657897309999999</v>
      </c>
      <c r="G14">
        <v>0.50609999999999999</v>
      </c>
      <c r="H14">
        <v>0.25611699999999998</v>
      </c>
    </row>
    <row r="15" spans="1:8" hidden="1" x14ac:dyDescent="0.25">
      <c r="A15" t="s">
        <v>15</v>
      </c>
      <c r="B15" t="s">
        <v>10</v>
      </c>
      <c r="C15">
        <v>-53.80909922</v>
      </c>
      <c r="D15">
        <v>-25.658186499999999</v>
      </c>
      <c r="E15">
        <v>-53.809092550000003</v>
      </c>
      <c r="F15">
        <v>-25.65818479</v>
      </c>
      <c r="G15">
        <v>0.69530000000000003</v>
      </c>
      <c r="H15">
        <v>0.48338399999999998</v>
      </c>
    </row>
    <row r="16" spans="1:8" hidden="1" x14ac:dyDescent="0.25">
      <c r="A16" t="s">
        <v>15</v>
      </c>
      <c r="B16" t="s">
        <v>11</v>
      </c>
      <c r="C16">
        <v>-53.809474389999998</v>
      </c>
      <c r="D16">
        <v>-25.659401450000001</v>
      </c>
      <c r="E16">
        <v>-53.809462600000003</v>
      </c>
      <c r="F16">
        <v>-25.659402440000001</v>
      </c>
      <c r="G16">
        <v>1.1861999999999999</v>
      </c>
      <c r="H16">
        <v>1.4070549999999999</v>
      </c>
    </row>
    <row r="17" spans="1:8" hidden="1" x14ac:dyDescent="0.25">
      <c r="A17" t="s">
        <v>15</v>
      </c>
      <c r="B17" t="s">
        <v>12</v>
      </c>
      <c r="C17">
        <v>-53.810624279999999</v>
      </c>
      <c r="D17">
        <v>-25.659112950000001</v>
      </c>
      <c r="E17">
        <v>-53.810614180000002</v>
      </c>
      <c r="F17">
        <v>-25.65911496</v>
      </c>
      <c r="G17">
        <v>1.036</v>
      </c>
      <c r="H17">
        <v>1.0732839999999999</v>
      </c>
    </row>
    <row r="18" spans="1:8" hidden="1" x14ac:dyDescent="0.25">
      <c r="A18" t="s">
        <v>16</v>
      </c>
      <c r="B18" t="s">
        <v>9</v>
      </c>
      <c r="C18">
        <v>-53.809768599999998</v>
      </c>
      <c r="D18">
        <v>-25.6610075</v>
      </c>
      <c r="E18">
        <v>-53.809760859999997</v>
      </c>
      <c r="F18">
        <v>-25.661009780000001</v>
      </c>
      <c r="G18">
        <v>0.81589999999999996</v>
      </c>
      <c r="H18">
        <v>0.66574999999999995</v>
      </c>
    </row>
    <row r="19" spans="1:8" hidden="1" x14ac:dyDescent="0.25">
      <c r="A19" t="s">
        <v>16</v>
      </c>
      <c r="B19" t="s">
        <v>10</v>
      </c>
      <c r="C19">
        <v>-53.808617740000003</v>
      </c>
      <c r="D19">
        <v>-25.661292960000001</v>
      </c>
      <c r="E19">
        <v>-53.808609259999997</v>
      </c>
      <c r="F19">
        <v>-25.661297260000001</v>
      </c>
      <c r="G19">
        <v>0.97560000000000002</v>
      </c>
      <c r="H19">
        <v>0.95172000000000001</v>
      </c>
    </row>
    <row r="20" spans="1:8" hidden="1" x14ac:dyDescent="0.25">
      <c r="A20" t="s">
        <v>16</v>
      </c>
      <c r="B20" t="s">
        <v>11</v>
      </c>
      <c r="C20">
        <v>-53.80898895</v>
      </c>
      <c r="D20">
        <v>-25.662508899999999</v>
      </c>
      <c r="E20">
        <v>-53.808979319999999</v>
      </c>
      <c r="F20">
        <v>-25.662514909999999</v>
      </c>
      <c r="G20">
        <v>1.1747000000000001</v>
      </c>
      <c r="H20">
        <v>1.3798820000000001</v>
      </c>
    </row>
    <row r="21" spans="1:8" hidden="1" x14ac:dyDescent="0.25">
      <c r="A21" t="s">
        <v>16</v>
      </c>
      <c r="B21" t="s">
        <v>12</v>
      </c>
      <c r="C21">
        <v>-53.810139810000003</v>
      </c>
      <c r="D21">
        <v>-25.662223440000002</v>
      </c>
      <c r="E21">
        <v>-53.81013093</v>
      </c>
      <c r="F21">
        <v>-25.662227430000002</v>
      </c>
      <c r="G21">
        <v>0.99439999999999995</v>
      </c>
      <c r="H21">
        <v>0.98886799999999997</v>
      </c>
    </row>
    <row r="22" spans="1:8" hidden="1" x14ac:dyDescent="0.25">
      <c r="A22" t="s">
        <v>17</v>
      </c>
      <c r="B22" t="s">
        <v>9</v>
      </c>
      <c r="C22">
        <v>-53.807602369999998</v>
      </c>
      <c r="D22">
        <v>-25.65855152</v>
      </c>
      <c r="E22">
        <v>-53.807554570000001</v>
      </c>
      <c r="F22">
        <v>-25.658562719999999</v>
      </c>
      <c r="G22">
        <v>4.95</v>
      </c>
      <c r="H22">
        <v>24.502502</v>
      </c>
    </row>
    <row r="23" spans="1:8" hidden="1" x14ac:dyDescent="0.25">
      <c r="A23" t="s">
        <v>17</v>
      </c>
      <c r="B23" t="s">
        <v>10</v>
      </c>
      <c r="C23">
        <v>-53.806451699999997</v>
      </c>
      <c r="D23">
        <v>-25.658837500000001</v>
      </c>
      <c r="E23">
        <v>-53.806402980000001</v>
      </c>
      <c r="F23">
        <v>-25.658850170000001</v>
      </c>
      <c r="G23">
        <v>5.0818000000000003</v>
      </c>
      <c r="H23">
        <v>25.825046</v>
      </c>
    </row>
    <row r="24" spans="1:8" hidden="1" x14ac:dyDescent="0.25">
      <c r="A24" t="s">
        <v>17</v>
      </c>
      <c r="B24" t="s">
        <v>11</v>
      </c>
      <c r="C24">
        <v>-53.80682358</v>
      </c>
      <c r="D24">
        <v>-25.66005328</v>
      </c>
      <c r="E24">
        <v>-53.806773010000001</v>
      </c>
      <c r="F24">
        <v>-25.66006784</v>
      </c>
      <c r="G24">
        <v>5.3207000000000004</v>
      </c>
      <c r="H24">
        <v>28.310034000000002</v>
      </c>
    </row>
    <row r="25" spans="1:8" hidden="1" x14ac:dyDescent="0.25">
      <c r="A25" t="s">
        <v>17</v>
      </c>
      <c r="B25" t="s">
        <v>12</v>
      </c>
      <c r="C25">
        <v>-53.807974250000001</v>
      </c>
      <c r="D25">
        <v>-25.659767299999999</v>
      </c>
      <c r="E25">
        <v>-53.807924610000001</v>
      </c>
      <c r="F25">
        <v>-25.65978037</v>
      </c>
      <c r="G25">
        <v>5.1839000000000004</v>
      </c>
      <c r="H25">
        <v>26.872882000000001</v>
      </c>
    </row>
    <row r="26" spans="1:8" hidden="1" x14ac:dyDescent="0.25">
      <c r="A26" t="s">
        <v>18</v>
      </c>
      <c r="B26" t="s">
        <v>9</v>
      </c>
      <c r="C26">
        <v>-53.811901570000003</v>
      </c>
      <c r="D26">
        <v>-25.663282710000001</v>
      </c>
      <c r="E26">
        <v>-53.811882349999998</v>
      </c>
      <c r="F26">
        <v>-25.66328494</v>
      </c>
      <c r="G26">
        <v>1.9417</v>
      </c>
      <c r="H26">
        <v>3.770203</v>
      </c>
    </row>
    <row r="27" spans="1:8" hidden="1" x14ac:dyDescent="0.25">
      <c r="A27" t="s">
        <v>18</v>
      </c>
      <c r="B27" t="s">
        <v>10</v>
      </c>
      <c r="C27">
        <v>-53.810751629999999</v>
      </c>
      <c r="D27">
        <v>-25.66357124</v>
      </c>
      <c r="E27">
        <v>-53.810730739999997</v>
      </c>
      <c r="F27">
        <v>-25.663572439999999</v>
      </c>
      <c r="G27">
        <v>2.0987</v>
      </c>
      <c r="H27">
        <v>4.4043720000000004</v>
      </c>
    </row>
    <row r="28" spans="1:8" hidden="1" x14ac:dyDescent="0.25">
      <c r="A28" t="s">
        <v>18</v>
      </c>
      <c r="B28" t="s">
        <v>11</v>
      </c>
      <c r="C28">
        <v>-53.811073229999998</v>
      </c>
      <c r="D28">
        <v>-25.664612590000001</v>
      </c>
      <c r="E28">
        <v>-53.811047960000003</v>
      </c>
      <c r="F28">
        <v>-25.664616129999999</v>
      </c>
      <c r="G28">
        <v>2.5640000000000001</v>
      </c>
      <c r="H28">
        <v>6.5739070000000002</v>
      </c>
    </row>
    <row r="29" spans="1:8" hidden="1" x14ac:dyDescent="0.25">
      <c r="A29" t="s">
        <v>18</v>
      </c>
      <c r="B29" t="s">
        <v>12</v>
      </c>
      <c r="C29">
        <v>-53.812223170000003</v>
      </c>
      <c r="D29">
        <v>-25.664324059999998</v>
      </c>
      <c r="E29">
        <v>-53.812199579999998</v>
      </c>
      <c r="F29">
        <v>-25.66432863</v>
      </c>
      <c r="G29">
        <v>2.4180999999999999</v>
      </c>
      <c r="H29">
        <v>5.8472860000000004</v>
      </c>
    </row>
    <row r="30" spans="1:8" hidden="1" x14ac:dyDescent="0.25">
      <c r="A30" t="s">
        <v>19</v>
      </c>
      <c r="B30" t="s">
        <v>9</v>
      </c>
      <c r="C30">
        <v>-53.805279130000002</v>
      </c>
      <c r="D30">
        <v>-25.65613866</v>
      </c>
      <c r="E30">
        <v>-53.805280600000003</v>
      </c>
      <c r="F30">
        <v>-25.6561433</v>
      </c>
      <c r="G30">
        <v>0.53659999999999997</v>
      </c>
      <c r="H30">
        <v>0.28795700000000002</v>
      </c>
    </row>
    <row r="31" spans="1:8" hidden="1" x14ac:dyDescent="0.25">
      <c r="A31" t="s">
        <v>19</v>
      </c>
      <c r="B31" t="s">
        <v>10</v>
      </c>
      <c r="C31">
        <v>-53.804310319999999</v>
      </c>
      <c r="D31">
        <v>-25.656378</v>
      </c>
      <c r="E31">
        <v>-53.80431136</v>
      </c>
      <c r="F31">
        <v>-25.656385230000001</v>
      </c>
      <c r="G31">
        <v>0.81120000000000003</v>
      </c>
      <c r="H31">
        <v>0.65808</v>
      </c>
    </row>
    <row r="32" spans="1:8" hidden="1" x14ac:dyDescent="0.25">
      <c r="A32" t="s">
        <v>19</v>
      </c>
      <c r="B32" t="s">
        <v>11</v>
      </c>
      <c r="C32">
        <v>-53.80468012</v>
      </c>
      <c r="D32">
        <v>-25.657594289999999</v>
      </c>
      <c r="E32">
        <v>-53.804681359999996</v>
      </c>
      <c r="F32">
        <v>-25.657602900000001</v>
      </c>
      <c r="G32">
        <v>0.96619999999999995</v>
      </c>
      <c r="H32">
        <v>0.93355699999999997</v>
      </c>
    </row>
    <row r="33" spans="1:8" hidden="1" x14ac:dyDescent="0.25">
      <c r="A33" t="s">
        <v>19</v>
      </c>
      <c r="B33" t="s">
        <v>12</v>
      </c>
      <c r="C33">
        <v>-53.805648929999997</v>
      </c>
      <c r="D33">
        <v>-25.657354949999998</v>
      </c>
      <c r="E33">
        <v>-53.805650610000001</v>
      </c>
      <c r="F33">
        <v>-25.657360969999999</v>
      </c>
      <c r="G33">
        <v>0.69020000000000004</v>
      </c>
      <c r="H33">
        <v>0.47640500000000002</v>
      </c>
    </row>
    <row r="34" spans="1:8" x14ac:dyDescent="0.25">
      <c r="A34" t="s">
        <v>20</v>
      </c>
      <c r="B34" t="s">
        <v>9</v>
      </c>
      <c r="C34">
        <v>-53.804163199999998</v>
      </c>
      <c r="D34">
        <v>-25.680786650000002</v>
      </c>
      <c r="E34">
        <v>-53.804143979999999</v>
      </c>
      <c r="F34">
        <v>-25.680858709999999</v>
      </c>
      <c r="G34">
        <v>8.2407000000000004</v>
      </c>
      <c r="H34">
        <v>67.909827000000007</v>
      </c>
    </row>
    <row r="35" spans="1:8" x14ac:dyDescent="0.25">
      <c r="A35" t="s">
        <v>20</v>
      </c>
      <c r="B35" t="s">
        <v>10</v>
      </c>
      <c r="C35">
        <v>-53.802819980000002</v>
      </c>
      <c r="D35">
        <v>-25.681118550000001</v>
      </c>
      <c r="E35">
        <v>-53.802800210000001</v>
      </c>
      <c r="F35">
        <v>-25.681194059999999</v>
      </c>
      <c r="G35">
        <v>8.6273999999999997</v>
      </c>
      <c r="H35">
        <v>74.431342000000001</v>
      </c>
    </row>
    <row r="36" spans="1:8" x14ac:dyDescent="0.25">
      <c r="A36" t="s">
        <v>20</v>
      </c>
      <c r="B36" t="s">
        <v>11</v>
      </c>
      <c r="C36">
        <v>-53.803190000000001</v>
      </c>
      <c r="D36">
        <v>-25.6823348</v>
      </c>
      <c r="E36">
        <v>-53.803170289999997</v>
      </c>
      <c r="F36">
        <v>-25.682411729999998</v>
      </c>
      <c r="G36">
        <v>8.7789000000000001</v>
      </c>
      <c r="H36">
        <v>77.068899999999999</v>
      </c>
    </row>
    <row r="37" spans="1:8" x14ac:dyDescent="0.25">
      <c r="A37" t="s">
        <v>20</v>
      </c>
      <c r="B37" t="s">
        <v>12</v>
      </c>
      <c r="C37">
        <v>-53.804533220000003</v>
      </c>
      <c r="D37">
        <v>-25.682002900000001</v>
      </c>
      <c r="E37">
        <v>-53.804514079999997</v>
      </c>
      <c r="F37">
        <v>-25.682076370000001</v>
      </c>
      <c r="G37">
        <v>8.3914000000000009</v>
      </c>
      <c r="H37">
        <v>70.414781000000005</v>
      </c>
    </row>
    <row r="38" spans="1:8" hidden="1" x14ac:dyDescent="0.25">
      <c r="A38" t="s">
        <v>21</v>
      </c>
      <c r="B38" t="s">
        <v>9</v>
      </c>
      <c r="C38">
        <v>-53.802193950000003</v>
      </c>
      <c r="D38">
        <v>-25.68014295</v>
      </c>
      <c r="E38">
        <v>-53.802173060000001</v>
      </c>
      <c r="F38">
        <v>-25.680133090000002</v>
      </c>
      <c r="G38">
        <v>2.3628</v>
      </c>
      <c r="H38">
        <v>5.5826219999999998</v>
      </c>
    </row>
    <row r="39" spans="1:8" hidden="1" x14ac:dyDescent="0.25">
      <c r="A39" t="s">
        <v>21</v>
      </c>
      <c r="B39" t="s">
        <v>10</v>
      </c>
      <c r="C39">
        <v>-53.801231909999998</v>
      </c>
      <c r="D39">
        <v>-25.680371409999999</v>
      </c>
      <c r="E39">
        <v>-53.801213230000002</v>
      </c>
      <c r="F39">
        <v>-25.68037262</v>
      </c>
      <c r="G39">
        <v>1.8774999999999999</v>
      </c>
      <c r="H39">
        <v>3.5250370000000002</v>
      </c>
    </row>
    <row r="40" spans="1:8" hidden="1" x14ac:dyDescent="0.25">
      <c r="A40" t="s">
        <v>21</v>
      </c>
      <c r="B40" t="s">
        <v>11</v>
      </c>
      <c r="C40">
        <v>-53.801512049999999</v>
      </c>
      <c r="D40">
        <v>-25.681329550000001</v>
      </c>
      <c r="E40">
        <v>-53.80150399</v>
      </c>
      <c r="F40">
        <v>-25.681329359999999</v>
      </c>
      <c r="G40">
        <v>0.80830000000000002</v>
      </c>
      <c r="H40">
        <v>0.65333799999999997</v>
      </c>
    </row>
    <row r="41" spans="1:8" hidden="1" x14ac:dyDescent="0.25">
      <c r="A41" t="s">
        <v>21</v>
      </c>
      <c r="B41" t="s">
        <v>12</v>
      </c>
      <c r="C41">
        <v>-53.802474089999997</v>
      </c>
      <c r="D41">
        <v>-25.681101089999999</v>
      </c>
      <c r="E41">
        <v>-53.802463830000001</v>
      </c>
      <c r="F41">
        <v>-25.681089830000001</v>
      </c>
      <c r="G41">
        <v>1.6193</v>
      </c>
      <c r="H41">
        <v>2.6222259999999999</v>
      </c>
    </row>
    <row r="42" spans="1:8" hidden="1" x14ac:dyDescent="0.25">
      <c r="A42" t="s">
        <v>22</v>
      </c>
      <c r="B42" t="s">
        <v>9</v>
      </c>
      <c r="C42">
        <v>-53.803834670000001</v>
      </c>
      <c r="D42">
        <v>-25.6797158</v>
      </c>
      <c r="E42">
        <v>-53.80380238</v>
      </c>
      <c r="F42">
        <v>-25.679727700000001</v>
      </c>
      <c r="G42">
        <v>3.4956999999999998</v>
      </c>
      <c r="H42">
        <v>12.220077</v>
      </c>
    </row>
    <row r="43" spans="1:8" hidden="1" x14ac:dyDescent="0.25">
      <c r="A43" t="s">
        <v>22</v>
      </c>
      <c r="B43" t="s">
        <v>10</v>
      </c>
      <c r="C43">
        <v>-53.802493290000001</v>
      </c>
      <c r="D43">
        <v>-25.680053619999999</v>
      </c>
      <c r="E43">
        <v>-53.802458620000003</v>
      </c>
      <c r="F43">
        <v>-25.680063050000001</v>
      </c>
      <c r="G43">
        <v>3.6288</v>
      </c>
      <c r="H43">
        <v>13.168030999999999</v>
      </c>
    </row>
    <row r="44" spans="1:8" hidden="1" x14ac:dyDescent="0.25">
      <c r="A44" t="s">
        <v>22</v>
      </c>
      <c r="B44" t="s">
        <v>11</v>
      </c>
      <c r="C44">
        <v>-53.802789179999998</v>
      </c>
      <c r="D44">
        <v>-25.681007900000001</v>
      </c>
      <c r="E44">
        <v>-53.802749400000003</v>
      </c>
      <c r="F44">
        <v>-25.681019790000001</v>
      </c>
      <c r="G44">
        <v>4.2004000000000001</v>
      </c>
      <c r="H44">
        <v>17.643131</v>
      </c>
    </row>
    <row r="45" spans="1:8" hidden="1" x14ac:dyDescent="0.25">
      <c r="A45" t="s">
        <v>22</v>
      </c>
      <c r="B45" t="s">
        <v>12</v>
      </c>
      <c r="C45">
        <v>-53.804130559999997</v>
      </c>
      <c r="D45">
        <v>-25.680670079999999</v>
      </c>
      <c r="E45">
        <v>-53.804093170000002</v>
      </c>
      <c r="F45">
        <v>-25.68068444</v>
      </c>
      <c r="G45">
        <v>4.0734000000000004</v>
      </c>
      <c r="H45">
        <v>16.592631999999998</v>
      </c>
    </row>
    <row r="46" spans="1:8" hidden="1" x14ac:dyDescent="0.25">
      <c r="A46" t="s">
        <v>23</v>
      </c>
      <c r="B46" t="s">
        <v>9</v>
      </c>
      <c r="C46">
        <v>-53.804433029999998</v>
      </c>
      <c r="D46">
        <v>-25.676669780000001</v>
      </c>
      <c r="E46">
        <v>-53.804419250000002</v>
      </c>
      <c r="F46">
        <v>-25.676680430000001</v>
      </c>
      <c r="G46">
        <v>1.819</v>
      </c>
      <c r="H46">
        <v>3.3087270000000002</v>
      </c>
    </row>
    <row r="47" spans="1:8" hidden="1" x14ac:dyDescent="0.25">
      <c r="A47" t="s">
        <v>23</v>
      </c>
      <c r="B47" t="s">
        <v>10</v>
      </c>
      <c r="C47">
        <v>-53.803282600000003</v>
      </c>
      <c r="D47">
        <v>-25.676957080000001</v>
      </c>
      <c r="E47">
        <v>-53.803267490000003</v>
      </c>
      <c r="F47">
        <v>-25.676967869999999</v>
      </c>
      <c r="G47">
        <v>1.9317</v>
      </c>
      <c r="H47">
        <v>3.7316560000000001</v>
      </c>
    </row>
    <row r="48" spans="1:8" hidden="1" x14ac:dyDescent="0.25">
      <c r="A48" t="s">
        <v>23</v>
      </c>
      <c r="B48" t="s">
        <v>11</v>
      </c>
      <c r="C48">
        <v>-53.803602869999999</v>
      </c>
      <c r="D48">
        <v>-25.677998769999999</v>
      </c>
      <c r="E48">
        <v>-53.803584690000001</v>
      </c>
      <c r="F48">
        <v>-25.678011590000001</v>
      </c>
      <c r="G48">
        <v>2.3126000000000002</v>
      </c>
      <c r="H48">
        <v>5.3483460000000003</v>
      </c>
    </row>
    <row r="49" spans="1:8" hidden="1" x14ac:dyDescent="0.25">
      <c r="A49" t="s">
        <v>23</v>
      </c>
      <c r="B49" t="s">
        <v>12</v>
      </c>
      <c r="C49">
        <v>-53.804753300000002</v>
      </c>
      <c r="D49">
        <v>-25.677711469999998</v>
      </c>
      <c r="E49">
        <v>-53.804736470000002</v>
      </c>
      <c r="F49">
        <v>-25.677724139999999</v>
      </c>
      <c r="G49">
        <v>2.1983000000000001</v>
      </c>
      <c r="H49">
        <v>4.8325430000000003</v>
      </c>
    </row>
    <row r="50" spans="1:8" hidden="1" x14ac:dyDescent="0.25">
      <c r="A50" t="s">
        <v>24</v>
      </c>
      <c r="B50" t="s">
        <v>9</v>
      </c>
      <c r="C50">
        <v>-53.80083029</v>
      </c>
      <c r="D50">
        <v>-25.669982919999999</v>
      </c>
      <c r="E50">
        <v>-53.800816859999998</v>
      </c>
      <c r="F50">
        <v>-25.6699944</v>
      </c>
      <c r="G50">
        <v>1.8557999999999999</v>
      </c>
      <c r="H50">
        <v>3.4439679999999999</v>
      </c>
    </row>
    <row r="51" spans="1:8" hidden="1" x14ac:dyDescent="0.25">
      <c r="A51" t="s">
        <v>24</v>
      </c>
      <c r="B51" t="s">
        <v>10</v>
      </c>
      <c r="C51">
        <v>-53.799489039999997</v>
      </c>
      <c r="D51">
        <v>-25.670320790000002</v>
      </c>
      <c r="E51">
        <v>-53.79947319</v>
      </c>
      <c r="F51">
        <v>-25.670329720000002</v>
      </c>
      <c r="G51">
        <v>1.8728</v>
      </c>
      <c r="H51">
        <v>3.5074489999999998</v>
      </c>
    </row>
    <row r="52" spans="1:8" hidden="1" x14ac:dyDescent="0.25">
      <c r="A52" t="s">
        <v>24</v>
      </c>
      <c r="B52" t="s">
        <v>11</v>
      </c>
      <c r="C52">
        <v>-53.799811859999998</v>
      </c>
      <c r="D52">
        <v>-25.671361829999999</v>
      </c>
      <c r="E52">
        <v>-53.799790340000001</v>
      </c>
      <c r="F52">
        <v>-25.671373450000001</v>
      </c>
      <c r="G52">
        <v>2.5137</v>
      </c>
      <c r="H52">
        <v>6.3186039999999997</v>
      </c>
    </row>
    <row r="53" spans="1:8" hidden="1" x14ac:dyDescent="0.25">
      <c r="A53" t="s">
        <v>24</v>
      </c>
      <c r="B53" t="s">
        <v>12</v>
      </c>
      <c r="C53">
        <v>-53.801153110000001</v>
      </c>
      <c r="D53">
        <v>-25.671023959999999</v>
      </c>
      <c r="E53">
        <v>-53.801134019999999</v>
      </c>
      <c r="F53">
        <v>-25.671038129999999</v>
      </c>
      <c r="G53">
        <v>2.4788999999999999</v>
      </c>
      <c r="H53">
        <v>6.1450389999999997</v>
      </c>
    </row>
    <row r="54" spans="1:8" hidden="1" x14ac:dyDescent="0.25">
      <c r="A54" t="s">
        <v>25</v>
      </c>
      <c r="B54" t="s">
        <v>9</v>
      </c>
      <c r="C54">
        <v>-53.8036052</v>
      </c>
      <c r="D54">
        <v>-25.66927033</v>
      </c>
      <c r="E54">
        <v>-53.803599830000003</v>
      </c>
      <c r="F54">
        <v>-25.6692933</v>
      </c>
      <c r="G54">
        <v>2.6107</v>
      </c>
      <c r="H54">
        <v>6.8158830000000004</v>
      </c>
    </row>
    <row r="55" spans="1:8" hidden="1" x14ac:dyDescent="0.25">
      <c r="A55" t="s">
        <v>25</v>
      </c>
      <c r="B55" t="s">
        <v>10</v>
      </c>
      <c r="C55">
        <v>-53.802460529999998</v>
      </c>
      <c r="D55">
        <v>-25.66957554</v>
      </c>
      <c r="E55">
        <v>-53.802448130000002</v>
      </c>
      <c r="F55">
        <v>-25.669580740000001</v>
      </c>
      <c r="G55">
        <v>1.3697999999999999</v>
      </c>
      <c r="H55">
        <v>1.876301</v>
      </c>
    </row>
    <row r="56" spans="1:8" hidden="1" x14ac:dyDescent="0.25">
      <c r="A56" t="s">
        <v>25</v>
      </c>
      <c r="B56" t="s">
        <v>11</v>
      </c>
      <c r="C56">
        <v>-53.802800750000003</v>
      </c>
      <c r="D56">
        <v>-25.670612070000001</v>
      </c>
      <c r="E56">
        <v>-53.802765299999997</v>
      </c>
      <c r="F56">
        <v>-25.670624449999998</v>
      </c>
      <c r="G56">
        <v>3.8096000000000001</v>
      </c>
      <c r="H56">
        <v>14.513394</v>
      </c>
    </row>
    <row r="57" spans="1:8" hidden="1" x14ac:dyDescent="0.25">
      <c r="A57" t="s">
        <v>25</v>
      </c>
      <c r="B57" t="s">
        <v>12</v>
      </c>
      <c r="C57">
        <v>-53.803945419999998</v>
      </c>
      <c r="D57">
        <v>-25.67030686</v>
      </c>
      <c r="E57">
        <v>-53.803917009999999</v>
      </c>
      <c r="F57">
        <v>-25.670337020000002</v>
      </c>
      <c r="G57">
        <v>4.3994</v>
      </c>
      <c r="H57">
        <v>19.354423000000001</v>
      </c>
    </row>
    <row r="58" spans="1:8" hidden="1" x14ac:dyDescent="0.25">
      <c r="A58" t="s">
        <v>26</v>
      </c>
      <c r="B58" t="s">
        <v>9</v>
      </c>
      <c r="C58">
        <v>-53.805787410000001</v>
      </c>
      <c r="D58">
        <v>-25.676315200000001</v>
      </c>
      <c r="E58">
        <v>-53.805756819999999</v>
      </c>
      <c r="F58">
        <v>-25.67633708</v>
      </c>
      <c r="G58">
        <v>3.9138000000000002</v>
      </c>
      <c r="H58">
        <v>15.317548</v>
      </c>
    </row>
    <row r="59" spans="1:8" hidden="1" x14ac:dyDescent="0.25">
      <c r="A59" t="s">
        <v>26</v>
      </c>
      <c r="B59" t="s">
        <v>10</v>
      </c>
      <c r="C59">
        <v>-53.804633510000002</v>
      </c>
      <c r="D59">
        <v>-25.67659098</v>
      </c>
      <c r="E59">
        <v>-53.804605070000001</v>
      </c>
      <c r="F59">
        <v>-25.676624530000002</v>
      </c>
      <c r="G59">
        <v>4.6958000000000002</v>
      </c>
      <c r="H59">
        <v>22.050224</v>
      </c>
    </row>
    <row r="60" spans="1:8" hidden="1" x14ac:dyDescent="0.25">
      <c r="A60" t="s">
        <v>26</v>
      </c>
      <c r="B60" t="s">
        <v>11</v>
      </c>
      <c r="C60">
        <v>-53.804940940000002</v>
      </c>
      <c r="D60">
        <v>-25.677635800000001</v>
      </c>
      <c r="E60">
        <v>-53.80492228</v>
      </c>
      <c r="F60">
        <v>-25.677668239999999</v>
      </c>
      <c r="G60">
        <v>4.0631000000000004</v>
      </c>
      <c r="H60">
        <v>16.508524000000001</v>
      </c>
    </row>
    <row r="61" spans="1:8" hidden="1" x14ac:dyDescent="0.25">
      <c r="A61" t="s">
        <v>26</v>
      </c>
      <c r="B61" t="s">
        <v>12</v>
      </c>
      <c r="C61">
        <v>-53.80609484</v>
      </c>
      <c r="D61">
        <v>-25.677360019999998</v>
      </c>
      <c r="E61">
        <v>-53.806074049999999</v>
      </c>
      <c r="F61">
        <v>-25.67738078</v>
      </c>
      <c r="G61">
        <v>3.1097999999999999</v>
      </c>
      <c r="H61">
        <v>9.6706160000000008</v>
      </c>
    </row>
    <row r="63" spans="1:8" x14ac:dyDescent="0.25">
      <c r="D63" t="s">
        <v>31</v>
      </c>
      <c r="G63">
        <f>COUNT(G2:G62)</f>
        <v>60</v>
      </c>
    </row>
    <row r="64" spans="1:8" x14ac:dyDescent="0.25">
      <c r="D64" t="s">
        <v>28</v>
      </c>
      <c r="G64" s="1">
        <f>MAX(G2:G61)</f>
        <v>8.7789000000000001</v>
      </c>
    </row>
    <row r="65" spans="1:8" x14ac:dyDescent="0.25">
      <c r="D65" t="s">
        <v>29</v>
      </c>
      <c r="G65" s="1">
        <f>MIN(G2:G61)</f>
        <v>0.50609999999999999</v>
      </c>
    </row>
    <row r="66" spans="1:8" x14ac:dyDescent="0.25">
      <c r="D66" t="s">
        <v>30</v>
      </c>
      <c r="G66" s="1">
        <f>AVERAGE(G2:G61)</f>
        <v>2.7831049999999999</v>
      </c>
    </row>
    <row r="67" spans="1:8" x14ac:dyDescent="0.25">
      <c r="D67" t="s">
        <v>27</v>
      </c>
      <c r="H67" s="1">
        <f>AVERAGE(H2:H61)</f>
        <v>11.964745599999997</v>
      </c>
    </row>
    <row r="68" spans="1:8" x14ac:dyDescent="0.25">
      <c r="D68" t="s">
        <v>32</v>
      </c>
      <c r="H68" s="1">
        <f>SQRT(H67)</f>
        <v>3.4590093379463429</v>
      </c>
    </row>
    <row r="73" spans="1:8" x14ac:dyDescent="0.25">
      <c r="A73" t="s">
        <v>33</v>
      </c>
      <c r="B73" s="2">
        <v>60</v>
      </c>
    </row>
    <row r="74" spans="1:8" x14ac:dyDescent="0.25">
      <c r="A74" t="s">
        <v>34</v>
      </c>
      <c r="B74" s="1">
        <v>8.7789000000000001</v>
      </c>
    </row>
    <row r="75" spans="1:8" x14ac:dyDescent="0.25">
      <c r="A75" t="s">
        <v>35</v>
      </c>
      <c r="B75" s="1">
        <v>0.50609999999999999</v>
      </c>
    </row>
    <row r="76" spans="1:8" x14ac:dyDescent="0.25">
      <c r="A76" t="s">
        <v>36</v>
      </c>
      <c r="B76" s="1">
        <v>2.7831049999999999</v>
      </c>
    </row>
    <row r="77" spans="1:8" x14ac:dyDescent="0.25">
      <c r="A77" t="s">
        <v>27</v>
      </c>
      <c r="B77" s="1">
        <v>11.964745599999997</v>
      </c>
    </row>
    <row r="78" spans="1:8" x14ac:dyDescent="0.25">
      <c r="A78" t="s">
        <v>37</v>
      </c>
      <c r="B78" s="1">
        <v>3.4590093379463429</v>
      </c>
    </row>
    <row r="82" spans="6:7" x14ac:dyDescent="0.25">
      <c r="G82">
        <v>0.81589999999999996</v>
      </c>
    </row>
    <row r="83" spans="6:7" x14ac:dyDescent="0.25">
      <c r="G83">
        <v>0.97560000000000002</v>
      </c>
    </row>
    <row r="84" spans="6:7" x14ac:dyDescent="0.25">
      <c r="G84">
        <v>1.1747000000000001</v>
      </c>
    </row>
    <row r="85" spans="6:7" x14ac:dyDescent="0.25">
      <c r="G85">
        <v>0.99439999999999995</v>
      </c>
    </row>
    <row r="86" spans="6:7" x14ac:dyDescent="0.25">
      <c r="F86" t="s">
        <v>38</v>
      </c>
      <c r="G86">
        <f>AVERAGE(H34:H37)</f>
        <v>72.456212500000007</v>
      </c>
    </row>
    <row r="87" spans="6:7" x14ac:dyDescent="0.25">
      <c r="G87">
        <f>SQRT(G86)</f>
        <v>8.5121215040670091</v>
      </c>
    </row>
  </sheetData>
  <autoFilter ref="A1:H61" xr:uid="{4DD1A1A3-6C58-4C7C-9C4C-CA2B369AF196}">
    <filterColumn colId="0">
      <filters>
        <filter val="01.03.002.3.0065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Memoria_Calculo_Vértices_BR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Aurélio Barbiero</cp:lastModifiedBy>
  <dcterms:created xsi:type="dcterms:W3CDTF">2026-03-05T19:33:54Z</dcterms:created>
  <dcterms:modified xsi:type="dcterms:W3CDTF">2026-03-06T20:41:51Z</dcterms:modified>
</cp:coreProperties>
</file>