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6f68d678cfe6957/Documentos/Mestrado/TCC/V02/dados/"/>
    </mc:Choice>
  </mc:AlternateContent>
  <xr:revisionPtr revIDLastSave="164" documentId="8_{25501033-1950-46B4-883C-D1680ED1DF09}" xr6:coauthVersionLast="47" xr6:coauthVersionMax="47" xr10:uidLastSave="{B5D04429-FC33-4244-AFEF-7D2905E950B4}"/>
  <bookViews>
    <workbookView xWindow="-120" yWindow="-120" windowWidth="29040" windowHeight="15840" activeTab="1" xr2:uid="{342FA08E-E223-486A-A800-A1A413205353}"/>
  </bookViews>
  <sheets>
    <sheet name="Memoria_Calculo_Vértices_BR" sheetId="1" r:id="rId1"/>
    <sheet name="Planilha1" sheetId="2" r:id="rId2"/>
  </sheets>
  <definedNames>
    <definedName name="_xlnm._FilterDatabase" localSheetId="0" hidden="1">Memoria_Calculo_Vértices_BR!$A$1:$H$61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2" l="1"/>
  <c r="B25" i="2"/>
  <c r="B24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2" i="1"/>
  <c r="G71" i="1"/>
  <c r="G70" i="1"/>
  <c r="G72" i="1"/>
  <c r="G73" i="1" s="1"/>
  <c r="G69" i="1"/>
  <c r="G68" i="1"/>
  <c r="K62" i="1"/>
  <c r="L62" i="1" s="1"/>
  <c r="J62" i="1"/>
  <c r="J58" i="1"/>
  <c r="J54" i="1"/>
  <c r="J50" i="1"/>
  <c r="J46" i="1"/>
  <c r="J42" i="1"/>
  <c r="J38" i="1"/>
  <c r="J34" i="1"/>
  <c r="J30" i="1"/>
  <c r="J26" i="1"/>
  <c r="J22" i="1"/>
  <c r="J18" i="1"/>
  <c r="J14" i="1"/>
  <c r="J10" i="1"/>
  <c r="J6" i="1"/>
  <c r="J2" i="1"/>
  <c r="K58" i="1"/>
  <c r="L58" i="1" s="1"/>
  <c r="K54" i="1"/>
  <c r="L54" i="1" s="1"/>
  <c r="K50" i="1"/>
  <c r="L50" i="1" s="1"/>
  <c r="K46" i="1"/>
  <c r="L46" i="1" s="1"/>
  <c r="K42" i="1"/>
  <c r="L42" i="1" s="1"/>
  <c r="K38" i="1"/>
  <c r="L38" i="1" s="1"/>
  <c r="K34" i="1"/>
  <c r="L34" i="1" s="1"/>
  <c r="K30" i="1"/>
  <c r="L30" i="1" s="1"/>
  <c r="K26" i="1"/>
  <c r="L26" i="1" s="1"/>
  <c r="K22" i="1"/>
  <c r="L22" i="1" s="1"/>
  <c r="K18" i="1"/>
  <c r="L18" i="1" s="1"/>
  <c r="K14" i="1"/>
  <c r="L14" i="1" s="1"/>
  <c r="K10" i="1"/>
  <c r="L10" i="1" s="1"/>
  <c r="K6" i="1"/>
  <c r="L6" i="1" s="1"/>
  <c r="K2" i="1"/>
  <c r="L2" i="1" s="1"/>
  <c r="G93" i="1"/>
  <c r="G94" i="1" s="1"/>
</calcChain>
</file>

<file path=xl/sharedStrings.xml><?xml version="1.0" encoding="utf-8"?>
<sst xmlns="http://schemas.openxmlformats.org/spreadsheetml/2006/main" count="182" uniqueCount="43">
  <si>
    <t>ID_QUADRA</t>
  </si>
  <si>
    <t>VERTICE</t>
  </si>
  <si>
    <t>LON_AJUSTADO</t>
  </si>
  <si>
    <t>LAT_AJUSTADO</t>
  </si>
  <si>
    <t>LON_OFICIAL</t>
  </si>
  <si>
    <t>LAT_OFICIAL</t>
  </si>
  <si>
    <t>DISTANCIA_METROS</t>
  </si>
  <si>
    <t>ERRO_QUADRATICO</t>
  </si>
  <si>
    <t>01.06.004.1.0023</t>
  </si>
  <si>
    <t>V1</t>
  </si>
  <si>
    <t>V2</t>
  </si>
  <si>
    <t>V3</t>
  </si>
  <si>
    <t>V4</t>
  </si>
  <si>
    <t>01.06.004.1.0018</t>
  </si>
  <si>
    <t>01.05.004.1.0019</t>
  </si>
  <si>
    <t>01.04.004.1.0029</t>
  </si>
  <si>
    <t>01.04.004.0.0036</t>
  </si>
  <si>
    <t>01.03.002.3.0065</t>
  </si>
  <si>
    <t>01.03.002.3.0054</t>
  </si>
  <si>
    <t>01.03.002.3.0053</t>
  </si>
  <si>
    <t>01.03.002.0.0034</t>
  </si>
  <si>
    <t>01.03.001.2.0048</t>
  </si>
  <si>
    <t>01.03.001.0.0046</t>
  </si>
  <si>
    <t>01.02.002.0.0033</t>
  </si>
  <si>
    <t>EQM</t>
  </si>
  <si>
    <t>Erro Médio</t>
  </si>
  <si>
    <t>REQM</t>
  </si>
  <si>
    <t>Amostras</t>
  </si>
  <si>
    <t>Erro Máximo(m)</t>
  </si>
  <si>
    <t>Erro Mínimo(m)</t>
  </si>
  <si>
    <t>Erro Médio(m)</t>
  </si>
  <si>
    <t>REQM(m)</t>
  </si>
  <si>
    <t>EMQ</t>
  </si>
  <si>
    <t>REMQ</t>
  </si>
  <si>
    <t>Erro Médio (m)</t>
  </si>
  <si>
    <t>Erro Máximo (m)</t>
  </si>
  <si>
    <t>Erro Mínimo (m)</t>
  </si>
  <si>
    <t>PEC</t>
  </si>
  <si>
    <t>01.01.004.0.0047</t>
  </si>
  <si>
    <t>01.04.004.1.0017</t>
  </si>
  <si>
    <t>01.02.001.0.0020</t>
  </si>
  <si>
    <t>01.02.001.0.0018</t>
  </si>
  <si>
    <t>&lt; 5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</si>
</sst>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64" fontId="0" fillId="0" borderId="0" xfId="0" applyNumberFormat="1" applyAlignment="1">
      <alignment horizontal="center"/>
    </xf>
    <xf numFmtId="164" fontId="18" fillId="0" borderId="0" xfId="0" applyNumberFormat="1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1A1A3-6C58-4C7C-9C4C-CA2B369AF196}">
  <dimension ref="A1:L94"/>
  <sheetViews>
    <sheetView topLeftCell="A35" zoomScale="115" zoomScaleNormal="115" workbookViewId="0">
      <selection activeCell="I1" sqref="I1:L65"/>
    </sheetView>
  </sheetViews>
  <sheetFormatPr defaultRowHeight="15" x14ac:dyDescent="0.25"/>
  <cols>
    <col min="1" max="1" width="16.7109375" bestFit="1" customWidth="1"/>
    <col min="2" max="2" width="8.28515625" bestFit="1" customWidth="1"/>
    <col min="3" max="3" width="14.85546875" bestFit="1" customWidth="1"/>
    <col min="4" max="6" width="14" bestFit="1" customWidth="1"/>
    <col min="7" max="7" width="18.5703125" bestFit="1" customWidth="1"/>
    <col min="8" max="8" width="20.85546875" customWidth="1"/>
    <col min="9" max="9" width="16.7109375" bestFit="1" customWidth="1"/>
    <col min="10" max="10" width="14" customWidth="1"/>
    <col min="11" max="11" width="13.28515625" customWidth="1"/>
    <col min="12" max="12" width="12.8554687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0</v>
      </c>
      <c r="J1" t="s">
        <v>25</v>
      </c>
      <c r="K1" t="s">
        <v>24</v>
      </c>
      <c r="L1" t="s">
        <v>26</v>
      </c>
    </row>
    <row r="2" spans="1:12" x14ac:dyDescent="0.25">
      <c r="A2" t="s">
        <v>38</v>
      </c>
      <c r="B2" t="s">
        <v>9</v>
      </c>
      <c r="C2">
        <v>-53.810303470000001</v>
      </c>
      <c r="D2">
        <v>-25.66756582</v>
      </c>
      <c r="E2">
        <v>-53.81032184</v>
      </c>
      <c r="F2">
        <v>-25.66760605</v>
      </c>
      <c r="G2">
        <v>4.8376000000000001</v>
      </c>
      <c r="H2">
        <v>23.402671000000002</v>
      </c>
      <c r="I2" t="str">
        <f>A2</f>
        <v>01.01.004.0.0047</v>
      </c>
      <c r="J2">
        <f>SUM(G2:G5)/4</f>
        <v>4.8634249999999994</v>
      </c>
      <c r="K2">
        <f>SUM(H2:H5)/4</f>
        <v>23.65660175</v>
      </c>
      <c r="L2">
        <f>SQRT(K2)</f>
        <v>4.8638052746794873</v>
      </c>
    </row>
    <row r="3" spans="1:12" x14ac:dyDescent="0.25">
      <c r="A3" t="s">
        <v>38</v>
      </c>
      <c r="B3" t="s">
        <v>10</v>
      </c>
      <c r="C3">
        <v>-53.809153190000004</v>
      </c>
      <c r="D3">
        <v>-25.667853359999999</v>
      </c>
      <c r="E3">
        <v>-53.809170180000002</v>
      </c>
      <c r="F3">
        <v>-25.667893530000001</v>
      </c>
      <c r="G3">
        <v>4.7801999999999998</v>
      </c>
      <c r="H3">
        <v>22.849916</v>
      </c>
      <c r="I3" t="str">
        <f t="shared" ref="I3:I65" si="0">A3</f>
        <v>01.01.004.0.0047</v>
      </c>
    </row>
    <row r="4" spans="1:12" x14ac:dyDescent="0.25">
      <c r="A4" t="s">
        <v>38</v>
      </c>
      <c r="B4" t="s">
        <v>11</v>
      </c>
      <c r="C4">
        <v>-53.809473709999999</v>
      </c>
      <c r="D4">
        <v>-25.668894980000001</v>
      </c>
      <c r="E4">
        <v>-53.809487400000002</v>
      </c>
      <c r="F4">
        <v>-25.668937230000001</v>
      </c>
      <c r="G4">
        <v>4.8944000000000001</v>
      </c>
      <c r="H4">
        <v>23.955100999999999</v>
      </c>
      <c r="I4" t="str">
        <f t="shared" si="0"/>
        <v>01.01.004.0.0047</v>
      </c>
    </row>
    <row r="5" spans="1:12" x14ac:dyDescent="0.25">
      <c r="A5" t="s">
        <v>38</v>
      </c>
      <c r="B5" t="s">
        <v>12</v>
      </c>
      <c r="C5">
        <v>-53.810623990000003</v>
      </c>
      <c r="D5">
        <v>-25.668607439999999</v>
      </c>
      <c r="E5">
        <v>-53.810639070000001</v>
      </c>
      <c r="F5">
        <v>-25.66864975</v>
      </c>
      <c r="G5">
        <v>4.9414999999999996</v>
      </c>
      <c r="H5">
        <v>24.418718999999999</v>
      </c>
      <c r="I5" t="str">
        <f t="shared" si="0"/>
        <v>01.01.004.0.0047</v>
      </c>
    </row>
    <row r="6" spans="1:12" x14ac:dyDescent="0.25">
      <c r="A6" t="s">
        <v>39</v>
      </c>
      <c r="B6" t="s">
        <v>9</v>
      </c>
      <c r="C6">
        <v>-53.80715198</v>
      </c>
      <c r="D6">
        <v>-25.657165880000001</v>
      </c>
      <c r="E6">
        <v>-53.807144270000002</v>
      </c>
      <c r="F6">
        <v>-25.657176960000001</v>
      </c>
      <c r="G6">
        <v>1.4536</v>
      </c>
      <c r="H6">
        <v>2.1128659999999999</v>
      </c>
      <c r="I6" t="str">
        <f t="shared" si="0"/>
        <v>01.04.004.1.0017</v>
      </c>
      <c r="J6">
        <f>SUM(G6:G9)/4</f>
        <v>1.8355000000000001</v>
      </c>
      <c r="K6">
        <f>SUM(H6:H9)/4</f>
        <v>3.5800572500000003</v>
      </c>
      <c r="L6">
        <f>SQRT(K6)</f>
        <v>1.8921039215645636</v>
      </c>
    </row>
    <row r="7" spans="1:12" x14ac:dyDescent="0.25">
      <c r="A7" t="s">
        <v>39</v>
      </c>
      <c r="B7" t="s">
        <v>10</v>
      </c>
      <c r="C7">
        <v>-53.806002970000002</v>
      </c>
      <c r="D7">
        <v>-25.657457180000002</v>
      </c>
      <c r="E7">
        <v>-53.805992699999997</v>
      </c>
      <c r="F7">
        <v>-25.657464409999999</v>
      </c>
      <c r="G7">
        <v>1.3056000000000001</v>
      </c>
      <c r="H7">
        <v>1.7045699999999999</v>
      </c>
      <c r="I7" t="str">
        <f t="shared" si="0"/>
        <v>01.04.004.1.0017</v>
      </c>
    </row>
    <row r="8" spans="1:12" x14ac:dyDescent="0.25">
      <c r="A8" t="s">
        <v>39</v>
      </c>
      <c r="B8" t="s">
        <v>11</v>
      </c>
      <c r="C8">
        <v>-53.806381770000002</v>
      </c>
      <c r="D8">
        <v>-25.658671219999999</v>
      </c>
      <c r="E8">
        <v>-53.806362720000003</v>
      </c>
      <c r="F8">
        <v>-25.658682070000001</v>
      </c>
      <c r="G8">
        <v>2.2589999999999999</v>
      </c>
      <c r="H8">
        <v>5.1028599999999997</v>
      </c>
      <c r="I8" t="str">
        <f t="shared" si="0"/>
        <v>01.04.004.1.0017</v>
      </c>
    </row>
    <row r="9" spans="1:12" x14ac:dyDescent="0.25">
      <c r="A9" t="s">
        <v>39</v>
      </c>
      <c r="B9" t="s">
        <v>12</v>
      </c>
      <c r="C9">
        <v>-53.80753078</v>
      </c>
      <c r="D9">
        <v>-25.658379920000002</v>
      </c>
      <c r="E9">
        <v>-53.807514300000001</v>
      </c>
      <c r="F9">
        <v>-25.658394619999999</v>
      </c>
      <c r="G9">
        <v>2.3237999999999999</v>
      </c>
      <c r="H9">
        <v>5.3999329999999999</v>
      </c>
      <c r="I9" t="str">
        <f t="shared" si="0"/>
        <v>01.04.004.1.0017</v>
      </c>
    </row>
    <row r="10" spans="1:12" x14ac:dyDescent="0.25">
      <c r="A10" t="s">
        <v>40</v>
      </c>
      <c r="B10" t="s">
        <v>9</v>
      </c>
      <c r="C10">
        <v>-53.80700135</v>
      </c>
      <c r="D10">
        <v>-25.66581549</v>
      </c>
      <c r="E10">
        <v>-53.806990839999997</v>
      </c>
      <c r="F10">
        <v>-25.665819719999998</v>
      </c>
      <c r="G10">
        <v>1.1544000000000001</v>
      </c>
      <c r="H10">
        <v>1.33264</v>
      </c>
      <c r="I10" t="str">
        <f t="shared" si="0"/>
        <v>01.02.001.0.0020</v>
      </c>
      <c r="J10">
        <f>SUM(G10:G13)/4</f>
        <v>1.3263750000000001</v>
      </c>
      <c r="K10">
        <f>SUM(H10:H13)/4</f>
        <v>1.774564</v>
      </c>
      <c r="L10">
        <f>SQRT(K10)</f>
        <v>1.3321276215137947</v>
      </c>
    </row>
    <row r="11" spans="1:12" x14ac:dyDescent="0.25">
      <c r="A11" t="s">
        <v>40</v>
      </c>
      <c r="B11" t="s">
        <v>10</v>
      </c>
      <c r="C11">
        <v>-53.805840860000004</v>
      </c>
      <c r="D11">
        <v>-25.666103379999999</v>
      </c>
      <c r="E11">
        <v>-53.805829580000001</v>
      </c>
      <c r="F11">
        <v>-25.66610957</v>
      </c>
      <c r="G11">
        <v>1.3232999999999999</v>
      </c>
      <c r="H11">
        <v>1.7512300000000001</v>
      </c>
      <c r="I11" t="str">
        <f t="shared" si="0"/>
        <v>01.02.001.0.0020</v>
      </c>
    </row>
    <row r="12" spans="1:12" x14ac:dyDescent="0.25">
      <c r="A12" t="s">
        <v>40</v>
      </c>
      <c r="B12" t="s">
        <v>11</v>
      </c>
      <c r="C12">
        <v>-53.806159100000002</v>
      </c>
      <c r="D12">
        <v>-25.667145560000002</v>
      </c>
      <c r="E12">
        <v>-53.806146769999998</v>
      </c>
      <c r="F12">
        <v>-25.667153280000001</v>
      </c>
      <c r="G12">
        <v>1.5043</v>
      </c>
      <c r="H12">
        <v>2.2627830000000002</v>
      </c>
      <c r="I12" t="str">
        <f t="shared" si="0"/>
        <v>01.02.001.0.0020</v>
      </c>
    </row>
    <row r="13" spans="1:12" x14ac:dyDescent="0.25">
      <c r="A13" t="s">
        <v>40</v>
      </c>
      <c r="B13" t="s">
        <v>12</v>
      </c>
      <c r="C13">
        <v>-53.807319589999999</v>
      </c>
      <c r="D13">
        <v>-25.666857669999999</v>
      </c>
      <c r="E13">
        <v>-53.807308030000002</v>
      </c>
      <c r="F13">
        <v>-25.666863419999999</v>
      </c>
      <c r="G13">
        <v>1.3234999999999999</v>
      </c>
      <c r="H13">
        <v>1.751603</v>
      </c>
      <c r="I13" t="str">
        <f t="shared" si="0"/>
        <v>01.02.001.0.0020</v>
      </c>
    </row>
    <row r="14" spans="1:12" x14ac:dyDescent="0.25">
      <c r="A14" t="s">
        <v>41</v>
      </c>
      <c r="B14" t="s">
        <v>9</v>
      </c>
      <c r="C14">
        <v>-53.806624589999998</v>
      </c>
      <c r="D14">
        <v>-25.66459815</v>
      </c>
      <c r="E14">
        <v>-53.806616460000001</v>
      </c>
      <c r="F14">
        <v>-25.664596660000001</v>
      </c>
      <c r="G14">
        <v>0.83109999999999995</v>
      </c>
      <c r="H14">
        <v>0.69066399999999994</v>
      </c>
      <c r="I14" t="str">
        <f t="shared" si="0"/>
        <v>01.02.001.0.0018</v>
      </c>
      <c r="J14">
        <f>SUM(G14:G17)/4</f>
        <v>0.98835000000000006</v>
      </c>
      <c r="K14">
        <f>SUM(H14:H17)/4</f>
        <v>0.99178125000000006</v>
      </c>
      <c r="L14">
        <f>SQRT(K14)</f>
        <v>0.99588214664186048</v>
      </c>
    </row>
    <row r="15" spans="1:12" x14ac:dyDescent="0.25">
      <c r="A15" t="s">
        <v>41</v>
      </c>
      <c r="B15" t="s">
        <v>10</v>
      </c>
      <c r="C15">
        <v>-53.805464430000001</v>
      </c>
      <c r="D15">
        <v>-25.664887119999999</v>
      </c>
      <c r="E15">
        <v>-53.805455219999999</v>
      </c>
      <c r="F15">
        <v>-25.664886509999999</v>
      </c>
      <c r="G15">
        <v>0.92579999999999996</v>
      </c>
      <c r="H15">
        <v>0.85712999999999995</v>
      </c>
      <c r="I15" t="str">
        <f t="shared" si="0"/>
        <v>01.02.001.0.0018</v>
      </c>
    </row>
    <row r="16" spans="1:12" x14ac:dyDescent="0.25">
      <c r="A16" t="s">
        <v>41</v>
      </c>
      <c r="B16" t="s">
        <v>11</v>
      </c>
      <c r="C16">
        <v>-53.805783859999998</v>
      </c>
      <c r="D16">
        <v>-25.665928999999998</v>
      </c>
      <c r="E16">
        <v>-53.805772400000002</v>
      </c>
      <c r="F16">
        <v>-25.66593022</v>
      </c>
      <c r="G16">
        <v>1.1568000000000001</v>
      </c>
      <c r="H16">
        <v>1.338257</v>
      </c>
      <c r="I16" t="str">
        <f t="shared" si="0"/>
        <v>01.02.001.0.0018</v>
      </c>
    </row>
    <row r="17" spans="1:12" x14ac:dyDescent="0.25">
      <c r="A17" t="s">
        <v>41</v>
      </c>
      <c r="B17" t="s">
        <v>12</v>
      </c>
      <c r="C17">
        <v>-53.806944020000003</v>
      </c>
      <c r="D17">
        <v>-25.665640029999999</v>
      </c>
      <c r="E17">
        <v>-53.806933649999998</v>
      </c>
      <c r="F17">
        <v>-25.665640369999998</v>
      </c>
      <c r="G17">
        <v>1.0397000000000001</v>
      </c>
      <c r="H17">
        <v>1.0810740000000001</v>
      </c>
      <c r="I17" t="str">
        <f t="shared" si="0"/>
        <v>01.02.001.0.0018</v>
      </c>
    </row>
    <row r="18" spans="1:12" x14ac:dyDescent="0.25">
      <c r="A18" t="s">
        <v>23</v>
      </c>
      <c r="B18" t="s">
        <v>9</v>
      </c>
      <c r="C18">
        <v>-53.80576902</v>
      </c>
      <c r="D18">
        <v>-25.676316320000002</v>
      </c>
      <c r="E18">
        <v>-53.805756819999999</v>
      </c>
      <c r="F18">
        <v>-25.67633708</v>
      </c>
      <c r="G18">
        <v>2.6112000000000002</v>
      </c>
      <c r="H18">
        <v>6.8183660000000001</v>
      </c>
      <c r="I18" t="str">
        <f t="shared" si="0"/>
        <v>01.02.002.0.0033</v>
      </c>
      <c r="J18">
        <f>SUM(G18:G21)/4</f>
        <v>3.0428000000000002</v>
      </c>
      <c r="K18">
        <f>SUM(H18:H21)/4</f>
        <v>9.8213404999999998</v>
      </c>
      <c r="L18">
        <f>SQRT(K18)</f>
        <v>3.1339018012694653</v>
      </c>
    </row>
    <row r="19" spans="1:12" x14ac:dyDescent="0.25">
      <c r="A19" t="s">
        <v>23</v>
      </c>
      <c r="B19" t="s">
        <v>10</v>
      </c>
      <c r="C19">
        <v>-53.804621840000003</v>
      </c>
      <c r="D19">
        <v>-25.676614010000002</v>
      </c>
      <c r="E19">
        <v>-53.804605070000001</v>
      </c>
      <c r="F19">
        <v>-25.676624530000002</v>
      </c>
      <c r="G19">
        <v>2.0478000000000001</v>
      </c>
      <c r="H19">
        <v>4.1935820000000001</v>
      </c>
      <c r="I19" t="str">
        <f t="shared" si="0"/>
        <v>01.02.002.0.0033</v>
      </c>
    </row>
    <row r="20" spans="1:12" x14ac:dyDescent="0.25">
      <c r="A20" t="s">
        <v>23</v>
      </c>
      <c r="B20" t="s">
        <v>11</v>
      </c>
      <c r="C20">
        <v>-53.804953679999997</v>
      </c>
      <c r="D20">
        <v>-25.67765275</v>
      </c>
      <c r="E20">
        <v>-53.80492228</v>
      </c>
      <c r="F20">
        <v>-25.677668239999999</v>
      </c>
      <c r="G20">
        <v>3.5876000000000001</v>
      </c>
      <c r="H20">
        <v>12.871040000000001</v>
      </c>
      <c r="I20" t="str">
        <f t="shared" si="0"/>
        <v>01.02.002.0.0033</v>
      </c>
    </row>
    <row r="21" spans="1:12" x14ac:dyDescent="0.25">
      <c r="A21" t="s">
        <v>23</v>
      </c>
      <c r="B21" t="s">
        <v>12</v>
      </c>
      <c r="C21">
        <v>-53.806100860000001</v>
      </c>
      <c r="D21">
        <v>-25.67735506</v>
      </c>
      <c r="E21">
        <v>-53.806074049999999</v>
      </c>
      <c r="F21">
        <v>-25.67738078</v>
      </c>
      <c r="G21">
        <v>3.9245999999999999</v>
      </c>
      <c r="H21">
        <v>15.402374</v>
      </c>
      <c r="I21" t="str">
        <f t="shared" si="0"/>
        <v>01.02.002.0.0033</v>
      </c>
    </row>
    <row r="22" spans="1:12" x14ac:dyDescent="0.25">
      <c r="A22" t="s">
        <v>20</v>
      </c>
      <c r="B22" t="s">
        <v>9</v>
      </c>
      <c r="C22">
        <v>-53.804442369999997</v>
      </c>
      <c r="D22">
        <v>-25.676674590000001</v>
      </c>
      <c r="E22">
        <v>-53.804419250000002</v>
      </c>
      <c r="F22">
        <v>-25.676680430000001</v>
      </c>
      <c r="G22">
        <v>2.4062000000000001</v>
      </c>
      <c r="H22">
        <v>5.7897780000000001</v>
      </c>
      <c r="I22" t="str">
        <f t="shared" si="0"/>
        <v>01.03.002.0.0034</v>
      </c>
      <c r="J22">
        <f>SUM(G22:G25)/4</f>
        <v>2.19015</v>
      </c>
      <c r="K22">
        <f>SUM(H22:H25)/4</f>
        <v>5.1813849999999997</v>
      </c>
      <c r="L22">
        <f>SQRT(K22)</f>
        <v>2.2762655820444149</v>
      </c>
    </row>
    <row r="23" spans="1:12" x14ac:dyDescent="0.25">
      <c r="A23" t="s">
        <v>20</v>
      </c>
      <c r="B23" t="s">
        <v>10</v>
      </c>
      <c r="C23">
        <v>-53.80328797</v>
      </c>
      <c r="D23">
        <v>-25.67694869</v>
      </c>
      <c r="E23">
        <v>-53.803267490000003</v>
      </c>
      <c r="F23">
        <v>-25.676967869999999</v>
      </c>
      <c r="G23">
        <v>2.9605999999999999</v>
      </c>
      <c r="H23">
        <v>8.7648689999999991</v>
      </c>
      <c r="I23" t="str">
        <f t="shared" si="0"/>
        <v>01.03.002.0.0034</v>
      </c>
    </row>
    <row r="24" spans="1:12" x14ac:dyDescent="0.25">
      <c r="A24" t="s">
        <v>20</v>
      </c>
      <c r="B24" t="s">
        <v>11</v>
      </c>
      <c r="C24">
        <v>-53.803593530000001</v>
      </c>
      <c r="D24">
        <v>-25.677993959999998</v>
      </c>
      <c r="E24">
        <v>-53.803584690000001</v>
      </c>
      <c r="F24">
        <v>-25.678011590000001</v>
      </c>
      <c r="G24">
        <v>2.1507000000000001</v>
      </c>
      <c r="H24">
        <v>4.6255829999999998</v>
      </c>
      <c r="I24" t="str">
        <f t="shared" si="0"/>
        <v>01.03.002.0.0034</v>
      </c>
    </row>
    <row r="25" spans="1:12" x14ac:dyDescent="0.25">
      <c r="A25" t="s">
        <v>20</v>
      </c>
      <c r="B25" t="s">
        <v>12</v>
      </c>
      <c r="C25">
        <v>-53.804747929999998</v>
      </c>
      <c r="D25">
        <v>-25.67771986</v>
      </c>
      <c r="E25">
        <v>-53.804736470000002</v>
      </c>
      <c r="F25">
        <v>-25.677724139999999</v>
      </c>
      <c r="G25">
        <v>1.2431000000000001</v>
      </c>
      <c r="H25">
        <v>1.54531</v>
      </c>
      <c r="I25" t="str">
        <f t="shared" si="0"/>
        <v>01.03.002.0.0034</v>
      </c>
    </row>
    <row r="26" spans="1:12" x14ac:dyDescent="0.25">
      <c r="A26" t="s">
        <v>17</v>
      </c>
      <c r="B26" t="s">
        <v>9</v>
      </c>
      <c r="C26">
        <v>-53.804163199999998</v>
      </c>
      <c r="D26">
        <v>-25.680786650000002</v>
      </c>
      <c r="E26">
        <v>-53.804143979999999</v>
      </c>
      <c r="F26">
        <v>-25.680858709999999</v>
      </c>
      <c r="G26">
        <v>8.2407000000000004</v>
      </c>
      <c r="H26">
        <v>67.909827000000007</v>
      </c>
      <c r="I26" t="str">
        <f t="shared" si="0"/>
        <v>01.03.002.3.0065</v>
      </c>
      <c r="J26">
        <f>SUM(G26:G29)/4</f>
        <v>8.5095999999999989</v>
      </c>
      <c r="K26">
        <f>SUM(H26:H29)/4</f>
        <v>72.456212500000007</v>
      </c>
      <c r="L26">
        <f>SQRT(K26)</f>
        <v>8.5121215040670091</v>
      </c>
    </row>
    <row r="27" spans="1:12" x14ac:dyDescent="0.25">
      <c r="A27" t="s">
        <v>17</v>
      </c>
      <c r="B27" t="s">
        <v>10</v>
      </c>
      <c r="C27">
        <v>-53.802819980000002</v>
      </c>
      <c r="D27">
        <v>-25.681118550000001</v>
      </c>
      <c r="E27">
        <v>-53.802800210000001</v>
      </c>
      <c r="F27">
        <v>-25.681194059999999</v>
      </c>
      <c r="G27">
        <v>8.6273999999999997</v>
      </c>
      <c r="H27">
        <v>74.431342000000001</v>
      </c>
      <c r="I27" t="str">
        <f t="shared" si="0"/>
        <v>01.03.002.3.0065</v>
      </c>
    </row>
    <row r="28" spans="1:12" x14ac:dyDescent="0.25">
      <c r="A28" t="s">
        <v>17</v>
      </c>
      <c r="B28" t="s">
        <v>11</v>
      </c>
      <c r="C28">
        <v>-53.803190000000001</v>
      </c>
      <c r="D28">
        <v>-25.6823348</v>
      </c>
      <c r="E28">
        <v>-53.803170289999997</v>
      </c>
      <c r="F28">
        <v>-25.682411729999998</v>
      </c>
      <c r="G28">
        <v>8.7789000000000001</v>
      </c>
      <c r="H28">
        <v>77.068899999999999</v>
      </c>
      <c r="I28" t="str">
        <f t="shared" si="0"/>
        <v>01.03.002.3.0065</v>
      </c>
    </row>
    <row r="29" spans="1:12" x14ac:dyDescent="0.25">
      <c r="A29" t="s">
        <v>17</v>
      </c>
      <c r="B29" t="s">
        <v>12</v>
      </c>
      <c r="C29">
        <v>-53.804533220000003</v>
      </c>
      <c r="D29">
        <v>-25.682002900000001</v>
      </c>
      <c r="E29">
        <v>-53.804514079999997</v>
      </c>
      <c r="F29">
        <v>-25.682076370000001</v>
      </c>
      <c r="G29">
        <v>8.3914000000000009</v>
      </c>
      <c r="H29">
        <v>70.414781000000005</v>
      </c>
      <c r="I29" t="str">
        <f t="shared" si="0"/>
        <v>01.03.002.3.0065</v>
      </c>
    </row>
    <row r="30" spans="1:12" x14ac:dyDescent="0.25">
      <c r="A30" t="s">
        <v>19</v>
      </c>
      <c r="B30" t="s">
        <v>9</v>
      </c>
      <c r="C30">
        <v>-53.803834670000001</v>
      </c>
      <c r="D30">
        <v>-25.6797158</v>
      </c>
      <c r="E30">
        <v>-53.80380238</v>
      </c>
      <c r="F30">
        <v>-25.679727700000001</v>
      </c>
      <c r="G30">
        <v>3.4956999999999998</v>
      </c>
      <c r="H30">
        <v>12.220077</v>
      </c>
      <c r="I30" t="str">
        <f t="shared" si="0"/>
        <v>01.03.002.3.0053</v>
      </c>
      <c r="J30">
        <f>SUM(G30:G33)/4</f>
        <v>3.8495749999999997</v>
      </c>
      <c r="K30">
        <f>SUM(H30:H33)/4</f>
        <v>14.905967749999999</v>
      </c>
      <c r="L30">
        <f>SQRT(K30)</f>
        <v>3.8608247499724717</v>
      </c>
    </row>
    <row r="31" spans="1:12" x14ac:dyDescent="0.25">
      <c r="A31" t="s">
        <v>19</v>
      </c>
      <c r="B31" t="s">
        <v>10</v>
      </c>
      <c r="C31">
        <v>-53.802493290000001</v>
      </c>
      <c r="D31">
        <v>-25.680053619999999</v>
      </c>
      <c r="E31">
        <v>-53.802458620000003</v>
      </c>
      <c r="F31">
        <v>-25.680063050000001</v>
      </c>
      <c r="G31">
        <v>3.6288</v>
      </c>
      <c r="H31">
        <v>13.168030999999999</v>
      </c>
      <c r="I31" t="str">
        <f t="shared" si="0"/>
        <v>01.03.002.3.0053</v>
      </c>
    </row>
    <row r="32" spans="1:12" x14ac:dyDescent="0.25">
      <c r="A32" t="s">
        <v>19</v>
      </c>
      <c r="B32" t="s">
        <v>11</v>
      </c>
      <c r="C32">
        <v>-53.802789179999998</v>
      </c>
      <c r="D32">
        <v>-25.681007900000001</v>
      </c>
      <c r="E32">
        <v>-53.802749400000003</v>
      </c>
      <c r="F32">
        <v>-25.681019790000001</v>
      </c>
      <c r="G32">
        <v>4.2004000000000001</v>
      </c>
      <c r="H32">
        <v>17.643131</v>
      </c>
      <c r="I32" t="str">
        <f t="shared" si="0"/>
        <v>01.03.002.3.0053</v>
      </c>
    </row>
    <row r="33" spans="1:12" x14ac:dyDescent="0.25">
      <c r="A33" t="s">
        <v>19</v>
      </c>
      <c r="B33" t="s">
        <v>12</v>
      </c>
      <c r="C33">
        <v>-53.804130559999997</v>
      </c>
      <c r="D33">
        <v>-25.680670079999999</v>
      </c>
      <c r="E33">
        <v>-53.804093170000002</v>
      </c>
      <c r="F33">
        <v>-25.68068444</v>
      </c>
      <c r="G33">
        <v>4.0734000000000004</v>
      </c>
      <c r="H33">
        <v>16.592631999999998</v>
      </c>
      <c r="I33" t="str">
        <f t="shared" si="0"/>
        <v>01.03.002.3.0053</v>
      </c>
    </row>
    <row r="34" spans="1:12" x14ac:dyDescent="0.25">
      <c r="A34" t="s">
        <v>18</v>
      </c>
      <c r="B34" t="s">
        <v>9</v>
      </c>
      <c r="C34">
        <v>-53.80218361</v>
      </c>
      <c r="D34">
        <v>-25.68013822</v>
      </c>
      <c r="E34">
        <v>-53.802173060000001</v>
      </c>
      <c r="F34">
        <v>-25.680133090000002</v>
      </c>
      <c r="G34">
        <v>1.2008000000000001</v>
      </c>
      <c r="H34">
        <v>1.441819</v>
      </c>
      <c r="I34" t="str">
        <f t="shared" si="0"/>
        <v>01.03.002.3.0054</v>
      </c>
      <c r="J34">
        <f>SUM(G34:G37)/4</f>
        <v>1.5765750000000001</v>
      </c>
      <c r="K34">
        <f>SUM(H34:H37)/4</f>
        <v>2.5547772499999999</v>
      </c>
      <c r="L34">
        <f>SQRT(K34)</f>
        <v>1.5983670573432123</v>
      </c>
    </row>
    <row r="35" spans="1:12" x14ac:dyDescent="0.25">
      <c r="A35" t="s">
        <v>18</v>
      </c>
      <c r="B35" t="s">
        <v>10</v>
      </c>
      <c r="C35">
        <v>-53.80122566</v>
      </c>
      <c r="D35">
        <v>-25.680380209999999</v>
      </c>
      <c r="E35">
        <v>-53.801213230000002</v>
      </c>
      <c r="F35">
        <v>-25.68037262</v>
      </c>
      <c r="G35">
        <v>1.5051000000000001</v>
      </c>
      <c r="H35">
        <v>2.2653490000000001</v>
      </c>
      <c r="I35" t="str">
        <f t="shared" si="0"/>
        <v>01.03.002.3.0054</v>
      </c>
    </row>
    <row r="36" spans="1:12" x14ac:dyDescent="0.25">
      <c r="A36" t="s">
        <v>18</v>
      </c>
      <c r="B36" t="s">
        <v>11</v>
      </c>
      <c r="C36">
        <v>-53.801522390000002</v>
      </c>
      <c r="D36">
        <v>-25.681334280000002</v>
      </c>
      <c r="E36">
        <v>-53.80150399</v>
      </c>
      <c r="F36">
        <v>-25.681329359999999</v>
      </c>
      <c r="G36">
        <v>1.9236</v>
      </c>
      <c r="H36">
        <v>3.7002830000000002</v>
      </c>
      <c r="I36" t="str">
        <f t="shared" si="0"/>
        <v>01.03.002.3.0054</v>
      </c>
    </row>
    <row r="37" spans="1:12" x14ac:dyDescent="0.25">
      <c r="A37" t="s">
        <v>18</v>
      </c>
      <c r="B37" t="s">
        <v>12</v>
      </c>
      <c r="C37">
        <v>-53.802480340000002</v>
      </c>
      <c r="D37">
        <v>-25.681092289999999</v>
      </c>
      <c r="E37">
        <v>-53.802463830000001</v>
      </c>
      <c r="F37">
        <v>-25.681089830000001</v>
      </c>
      <c r="G37">
        <v>1.6768000000000001</v>
      </c>
      <c r="H37">
        <v>2.811658</v>
      </c>
      <c r="I37" t="str">
        <f t="shared" si="0"/>
        <v>01.03.002.3.0054</v>
      </c>
    </row>
    <row r="38" spans="1:12" x14ac:dyDescent="0.25">
      <c r="A38" t="s">
        <v>13</v>
      </c>
      <c r="B38" t="s">
        <v>9</v>
      </c>
      <c r="C38">
        <v>-53.811591730000004</v>
      </c>
      <c r="D38">
        <v>-25.657557690000001</v>
      </c>
      <c r="E38">
        <v>-53.811583310000003</v>
      </c>
      <c r="F38">
        <v>-25.657568220000002</v>
      </c>
      <c r="G38">
        <v>1.4433</v>
      </c>
      <c r="H38">
        <v>2.0831119999999999</v>
      </c>
      <c r="I38" t="str">
        <f t="shared" si="0"/>
        <v>01.06.004.1.0018</v>
      </c>
      <c r="J38">
        <f>SUM(G38:G41)/4</f>
        <v>1.6662250000000001</v>
      </c>
      <c r="K38">
        <f>SUM(H38:H41)/4</f>
        <v>2.8014427500000001</v>
      </c>
      <c r="L38">
        <f>SQRT(K38)</f>
        <v>1.673751101567972</v>
      </c>
    </row>
    <row r="39" spans="1:12" x14ac:dyDescent="0.25">
      <c r="A39" t="s">
        <v>13</v>
      </c>
      <c r="B39" t="s">
        <v>10</v>
      </c>
      <c r="C39">
        <v>-53.810440870000001</v>
      </c>
      <c r="D39">
        <v>-25.657843029999999</v>
      </c>
      <c r="E39">
        <v>-53.810431749999999</v>
      </c>
      <c r="F39">
        <v>-25.65785571</v>
      </c>
      <c r="G39">
        <v>1.6801999999999999</v>
      </c>
      <c r="H39">
        <v>2.8232219999999999</v>
      </c>
      <c r="I39" t="str">
        <f t="shared" si="0"/>
        <v>01.06.004.1.0018</v>
      </c>
    </row>
    <row r="40" spans="1:12" x14ac:dyDescent="0.25">
      <c r="A40" t="s">
        <v>13</v>
      </c>
      <c r="B40" t="s">
        <v>11</v>
      </c>
      <c r="C40">
        <v>-53.810811919999999</v>
      </c>
      <c r="D40">
        <v>-25.65905901</v>
      </c>
      <c r="E40">
        <v>-53.810801810000001</v>
      </c>
      <c r="F40">
        <v>-25.659073360000001</v>
      </c>
      <c r="G40">
        <v>1.8900999999999999</v>
      </c>
      <c r="H40">
        <v>3.5726529999999999</v>
      </c>
      <c r="I40" t="str">
        <f t="shared" si="0"/>
        <v>01.06.004.1.0018</v>
      </c>
    </row>
    <row r="41" spans="1:12" x14ac:dyDescent="0.25">
      <c r="A41" t="s">
        <v>13</v>
      </c>
      <c r="B41" t="s">
        <v>12</v>
      </c>
      <c r="C41">
        <v>-53.811962780000002</v>
      </c>
      <c r="D41">
        <v>-25.658773669999999</v>
      </c>
      <c r="E41">
        <v>-53.811953389999999</v>
      </c>
      <c r="F41">
        <v>-25.658785869999999</v>
      </c>
      <c r="G41">
        <v>1.6513</v>
      </c>
      <c r="H41">
        <v>2.7267839999999999</v>
      </c>
      <c r="I41" t="str">
        <f t="shared" si="0"/>
        <v>01.06.004.1.0018</v>
      </c>
    </row>
    <row r="42" spans="1:12" x14ac:dyDescent="0.25">
      <c r="A42" t="s">
        <v>14</v>
      </c>
      <c r="B42" t="s">
        <v>9</v>
      </c>
      <c r="C42">
        <v>-53.810257059999998</v>
      </c>
      <c r="D42">
        <v>-25.657917229999999</v>
      </c>
      <c r="E42">
        <v>-53.81024412</v>
      </c>
      <c r="F42">
        <v>-25.657897309999999</v>
      </c>
      <c r="G42">
        <v>2.5663999999999998</v>
      </c>
      <c r="H42">
        <v>6.586481</v>
      </c>
      <c r="I42" t="str">
        <f t="shared" si="0"/>
        <v>01.05.004.1.0019</v>
      </c>
      <c r="J42">
        <f>SUM(G42:G45)/4</f>
        <v>2.4419250000000003</v>
      </c>
      <c r="K42">
        <f>SUM(H42:H45)/4</f>
        <v>5.9707152500000005</v>
      </c>
      <c r="L42">
        <f>SQRT(K42)</f>
        <v>2.4435047063592901</v>
      </c>
    </row>
    <row r="43" spans="1:12" x14ac:dyDescent="0.25">
      <c r="A43" t="s">
        <v>14</v>
      </c>
      <c r="B43" t="s">
        <v>10</v>
      </c>
      <c r="C43">
        <v>-53.809106210000003</v>
      </c>
      <c r="D43">
        <v>-25.658202630000002</v>
      </c>
      <c r="E43">
        <v>-53.809092550000003</v>
      </c>
      <c r="F43">
        <v>-25.65818479</v>
      </c>
      <c r="G43">
        <v>2.4106000000000001</v>
      </c>
      <c r="H43">
        <v>5.8110499999999998</v>
      </c>
      <c r="I43" t="str">
        <f t="shared" si="0"/>
        <v>01.05.004.1.0019</v>
      </c>
    </row>
    <row r="44" spans="1:12" x14ac:dyDescent="0.25">
      <c r="A44" t="s">
        <v>14</v>
      </c>
      <c r="B44" t="s">
        <v>11</v>
      </c>
      <c r="C44">
        <v>-53.809477340000001</v>
      </c>
      <c r="D44">
        <v>-25.659418590000001</v>
      </c>
      <c r="E44">
        <v>-53.809462600000003</v>
      </c>
      <c r="F44">
        <v>-25.659402440000001</v>
      </c>
      <c r="G44">
        <v>2.3252999999999999</v>
      </c>
      <c r="H44">
        <v>5.4069250000000002</v>
      </c>
      <c r="I44" t="str">
        <f t="shared" si="0"/>
        <v>01.05.004.1.0019</v>
      </c>
    </row>
    <row r="45" spans="1:12" x14ac:dyDescent="0.25">
      <c r="A45" t="s">
        <v>14</v>
      </c>
      <c r="B45" t="s">
        <v>12</v>
      </c>
      <c r="C45">
        <v>-53.810628190000003</v>
      </c>
      <c r="D45">
        <v>-25.659133189999999</v>
      </c>
      <c r="E45">
        <v>-53.810614180000002</v>
      </c>
      <c r="F45">
        <v>-25.65911496</v>
      </c>
      <c r="G45">
        <v>2.4653999999999998</v>
      </c>
      <c r="H45">
        <v>6.0784050000000001</v>
      </c>
      <c r="I45" t="str">
        <f t="shared" si="0"/>
        <v>01.05.004.1.0019</v>
      </c>
    </row>
    <row r="46" spans="1:12" x14ac:dyDescent="0.25">
      <c r="A46" t="s">
        <v>8</v>
      </c>
      <c r="B46" t="s">
        <v>9</v>
      </c>
      <c r="C46">
        <v>-53.811994759999997</v>
      </c>
      <c r="D46">
        <v>-25.658945249999999</v>
      </c>
      <c r="E46">
        <v>-53.812007819999998</v>
      </c>
      <c r="F46">
        <v>-25.658949329999999</v>
      </c>
      <c r="G46">
        <v>1.3855</v>
      </c>
      <c r="H46">
        <v>1.919637</v>
      </c>
      <c r="I46" t="str">
        <f t="shared" si="0"/>
        <v>01.06.004.1.0023</v>
      </c>
      <c r="J46">
        <f>SUM(G46:G49)/4</f>
        <v>2.3358250000000003</v>
      </c>
      <c r="K46">
        <f>SUM(H46:H49)/4</f>
        <v>5.8751220000000002</v>
      </c>
      <c r="L46">
        <f>SQRT(K46)</f>
        <v>2.423865095255922</v>
      </c>
    </row>
    <row r="47" spans="1:12" x14ac:dyDescent="0.25">
      <c r="A47" t="s">
        <v>8</v>
      </c>
      <c r="B47" t="s">
        <v>10</v>
      </c>
      <c r="C47">
        <v>-53.810852009999998</v>
      </c>
      <c r="D47">
        <v>-25.659255999999999</v>
      </c>
      <c r="E47">
        <v>-53.810856250000001</v>
      </c>
      <c r="F47">
        <v>-25.65923682</v>
      </c>
      <c r="G47">
        <v>2.1739999999999999</v>
      </c>
      <c r="H47">
        <v>4.7261610000000003</v>
      </c>
      <c r="I47" t="str">
        <f t="shared" si="0"/>
        <v>01.06.004.1.0023</v>
      </c>
    </row>
    <row r="48" spans="1:12" x14ac:dyDescent="0.25">
      <c r="A48" t="s">
        <v>8</v>
      </c>
      <c r="B48" t="s">
        <v>11</v>
      </c>
      <c r="C48">
        <v>-53.811256100000001</v>
      </c>
      <c r="D48">
        <v>-25.66046339</v>
      </c>
      <c r="E48">
        <v>-53.811226320000003</v>
      </c>
      <c r="F48">
        <v>-25.660454470000001</v>
      </c>
      <c r="G48">
        <v>3.1453000000000002</v>
      </c>
      <c r="H48">
        <v>9.8929670000000005</v>
      </c>
      <c r="I48" t="str">
        <f t="shared" si="0"/>
        <v>01.06.004.1.0023</v>
      </c>
    </row>
    <row r="49" spans="1:12" x14ac:dyDescent="0.25">
      <c r="A49" t="s">
        <v>8</v>
      </c>
      <c r="B49" t="s">
        <v>12</v>
      </c>
      <c r="C49">
        <v>-53.812398819999999</v>
      </c>
      <c r="D49">
        <v>-25.66015256</v>
      </c>
      <c r="E49">
        <v>-53.812377910000002</v>
      </c>
      <c r="F49">
        <v>-25.660166969999999</v>
      </c>
      <c r="G49">
        <v>2.6385000000000001</v>
      </c>
      <c r="H49">
        <v>6.9617230000000001</v>
      </c>
      <c r="I49" t="str">
        <f t="shared" si="0"/>
        <v>01.06.004.1.0023</v>
      </c>
    </row>
    <row r="50" spans="1:12" x14ac:dyDescent="0.25">
      <c r="A50" t="s">
        <v>15</v>
      </c>
      <c r="B50" t="s">
        <v>9</v>
      </c>
      <c r="C50">
        <v>-53.809767630000003</v>
      </c>
      <c r="D50">
        <v>-25.661007099999999</v>
      </c>
      <c r="E50">
        <v>-53.809760859999997</v>
      </c>
      <c r="F50">
        <v>-25.661009780000001</v>
      </c>
      <c r="G50">
        <v>0.7419</v>
      </c>
      <c r="H50">
        <v>0.55041700000000005</v>
      </c>
      <c r="I50" t="str">
        <f t="shared" si="0"/>
        <v>01.04.004.1.0029</v>
      </c>
      <c r="J50">
        <f>SUM(G50:G53)/4</f>
        <v>0.9859</v>
      </c>
      <c r="K50">
        <f>SUM(H50:H53)/4</f>
        <v>1.0073695</v>
      </c>
      <c r="L50">
        <f>SQRT(K50)</f>
        <v>1.0036779862087242</v>
      </c>
    </row>
    <row r="51" spans="1:12" x14ac:dyDescent="0.25">
      <c r="A51" t="s">
        <v>15</v>
      </c>
      <c r="B51" t="s">
        <v>10</v>
      </c>
      <c r="C51">
        <v>-53.808617140000003</v>
      </c>
      <c r="D51">
        <v>-25.661293749999999</v>
      </c>
      <c r="E51">
        <v>-53.808609259999997</v>
      </c>
      <c r="F51">
        <v>-25.661297260000001</v>
      </c>
      <c r="G51">
        <v>0.88149999999999995</v>
      </c>
      <c r="H51">
        <v>0.77702099999999996</v>
      </c>
      <c r="I51" t="str">
        <f t="shared" si="0"/>
        <v>01.04.004.1.0029</v>
      </c>
    </row>
    <row r="52" spans="1:12" x14ac:dyDescent="0.25">
      <c r="A52" t="s">
        <v>15</v>
      </c>
      <c r="B52" t="s">
        <v>11</v>
      </c>
      <c r="C52">
        <v>-53.808989920000002</v>
      </c>
      <c r="D52">
        <v>-25.6625093</v>
      </c>
      <c r="E52">
        <v>-53.808979319999999</v>
      </c>
      <c r="F52">
        <v>-25.662514909999999</v>
      </c>
      <c r="G52">
        <v>1.2317</v>
      </c>
      <c r="H52">
        <v>1.5171239999999999</v>
      </c>
      <c r="I52" t="str">
        <f t="shared" si="0"/>
        <v>01.04.004.1.0029</v>
      </c>
    </row>
    <row r="53" spans="1:12" x14ac:dyDescent="0.25">
      <c r="A53" t="s">
        <v>15</v>
      </c>
      <c r="B53" t="s">
        <v>12</v>
      </c>
      <c r="C53">
        <v>-53.810140410000002</v>
      </c>
      <c r="D53">
        <v>-25.66222265</v>
      </c>
      <c r="E53">
        <v>-53.81013093</v>
      </c>
      <c r="F53">
        <v>-25.662227430000002</v>
      </c>
      <c r="G53">
        <v>1.0885</v>
      </c>
      <c r="H53">
        <v>1.1849160000000001</v>
      </c>
      <c r="I53" t="str">
        <f t="shared" si="0"/>
        <v>01.04.004.1.0029</v>
      </c>
    </row>
    <row r="54" spans="1:12" x14ac:dyDescent="0.25">
      <c r="A54" t="s">
        <v>16</v>
      </c>
      <c r="B54" t="s">
        <v>9</v>
      </c>
      <c r="C54">
        <v>-53.811901800000001</v>
      </c>
      <c r="D54">
        <v>-25.66328283</v>
      </c>
      <c r="E54">
        <v>-53.811882349999998</v>
      </c>
      <c r="F54">
        <v>-25.66328494</v>
      </c>
      <c r="G54">
        <v>1.9631000000000001</v>
      </c>
      <c r="H54">
        <v>3.8539119999999998</v>
      </c>
      <c r="I54" t="str">
        <f t="shared" si="0"/>
        <v>01.04.004.0.0036</v>
      </c>
      <c r="J54">
        <f>SUM(G54:G57)/4</f>
        <v>2.2550249999999998</v>
      </c>
      <c r="K54">
        <f>SUM(H54:H57)/4</f>
        <v>5.1374587500000004</v>
      </c>
      <c r="L54">
        <f>SQRT(K54)</f>
        <v>2.2665962917996669</v>
      </c>
    </row>
    <row r="55" spans="1:12" x14ac:dyDescent="0.25">
      <c r="A55" t="s">
        <v>16</v>
      </c>
      <c r="B55" t="s">
        <v>10</v>
      </c>
      <c r="C55">
        <v>-53.810751760000002</v>
      </c>
      <c r="D55">
        <v>-25.66357103</v>
      </c>
      <c r="E55">
        <v>-53.810730739999997</v>
      </c>
      <c r="F55">
        <v>-25.663572439999999</v>
      </c>
      <c r="G55">
        <v>2.1132</v>
      </c>
      <c r="H55">
        <v>4.4655019999999999</v>
      </c>
      <c r="I55" t="str">
        <f t="shared" si="0"/>
        <v>01.04.004.0.0036</v>
      </c>
    </row>
    <row r="56" spans="1:12" x14ac:dyDescent="0.25">
      <c r="A56" t="s">
        <v>16</v>
      </c>
      <c r="B56" t="s">
        <v>11</v>
      </c>
      <c r="C56">
        <v>-53.811073</v>
      </c>
      <c r="D56">
        <v>-25.664612470000002</v>
      </c>
      <c r="E56">
        <v>-53.811047960000003</v>
      </c>
      <c r="F56">
        <v>-25.664616129999999</v>
      </c>
      <c r="G56">
        <v>2.5430999999999999</v>
      </c>
      <c r="H56">
        <v>6.4672109999999998</v>
      </c>
      <c r="I56" t="str">
        <f t="shared" si="0"/>
        <v>01.04.004.0.0036</v>
      </c>
    </row>
    <row r="57" spans="1:12" x14ac:dyDescent="0.25">
      <c r="A57" t="s">
        <v>16</v>
      </c>
      <c r="B57" t="s">
        <v>12</v>
      </c>
      <c r="C57">
        <v>-53.812223039999999</v>
      </c>
      <c r="D57">
        <v>-25.664324270000002</v>
      </c>
      <c r="E57">
        <v>-53.812199579999998</v>
      </c>
      <c r="F57">
        <v>-25.66432863</v>
      </c>
      <c r="G57">
        <v>2.4007000000000001</v>
      </c>
      <c r="H57">
        <v>5.7632099999999999</v>
      </c>
      <c r="I57" t="str">
        <f t="shared" si="0"/>
        <v>01.04.004.0.0036</v>
      </c>
    </row>
    <row r="58" spans="1:12" x14ac:dyDescent="0.25">
      <c r="A58" t="s">
        <v>21</v>
      </c>
      <c r="B58" t="s">
        <v>9</v>
      </c>
      <c r="C58">
        <v>-53.80081903</v>
      </c>
      <c r="D58">
        <v>-25.669976269999999</v>
      </c>
      <c r="E58">
        <v>-53.800816859999998</v>
      </c>
      <c r="F58">
        <v>-25.6699944</v>
      </c>
      <c r="G58">
        <v>2.0282</v>
      </c>
      <c r="H58">
        <v>4.1135390000000003</v>
      </c>
      <c r="I58" t="str">
        <f t="shared" si="0"/>
        <v>01.03.001.2.0048</v>
      </c>
      <c r="J58">
        <f>SUM(G58:G61)/4</f>
        <v>2.5372750000000002</v>
      </c>
      <c r="K58">
        <f>SUM(H58:H61)/4</f>
        <v>7.5746712499999997</v>
      </c>
      <c r="L58">
        <f>SQRT(K58)</f>
        <v>2.7522120648670954</v>
      </c>
    </row>
    <row r="59" spans="1:12" x14ac:dyDescent="0.25">
      <c r="A59" t="s">
        <v>21</v>
      </c>
      <c r="B59" t="s">
        <v>10</v>
      </c>
      <c r="C59">
        <v>-53.799483410000001</v>
      </c>
      <c r="D59">
        <v>-25.67033181</v>
      </c>
      <c r="E59">
        <v>-53.79947319</v>
      </c>
      <c r="F59">
        <v>-25.670329720000002</v>
      </c>
      <c r="G59">
        <v>1.05</v>
      </c>
      <c r="H59">
        <v>1.102563</v>
      </c>
      <c r="I59" t="str">
        <f t="shared" si="0"/>
        <v>01.03.001.2.0048</v>
      </c>
    </row>
    <row r="60" spans="1:12" x14ac:dyDescent="0.25">
      <c r="A60" t="s">
        <v>21</v>
      </c>
      <c r="B60" t="s">
        <v>11</v>
      </c>
      <c r="C60">
        <v>-53.799823119999999</v>
      </c>
      <c r="D60">
        <v>-25.671368480000002</v>
      </c>
      <c r="E60">
        <v>-53.799790340000001</v>
      </c>
      <c r="F60">
        <v>-25.671373450000001</v>
      </c>
      <c r="G60">
        <v>3.331</v>
      </c>
      <c r="H60">
        <v>11.095585</v>
      </c>
      <c r="I60" t="str">
        <f t="shared" si="0"/>
        <v>01.03.001.2.0048</v>
      </c>
    </row>
    <row r="61" spans="1:12" x14ac:dyDescent="0.25">
      <c r="A61" t="s">
        <v>21</v>
      </c>
      <c r="B61" t="s">
        <v>12</v>
      </c>
      <c r="C61">
        <v>-53.801158739999998</v>
      </c>
      <c r="D61">
        <v>-25.671012940000001</v>
      </c>
      <c r="E61">
        <v>-53.801134019999999</v>
      </c>
      <c r="F61">
        <v>-25.671038129999999</v>
      </c>
      <c r="G61">
        <v>3.7399</v>
      </c>
      <c r="H61">
        <v>13.986998</v>
      </c>
      <c r="I61" t="str">
        <f t="shared" si="0"/>
        <v>01.03.001.2.0048</v>
      </c>
    </row>
    <row r="62" spans="1:12" x14ac:dyDescent="0.25">
      <c r="A62" t="s">
        <v>22</v>
      </c>
      <c r="B62" t="s">
        <v>9</v>
      </c>
      <c r="C62">
        <v>-53.803621849999999</v>
      </c>
      <c r="D62">
        <v>-25.669278649999999</v>
      </c>
      <c r="E62">
        <v>-53.803599830000003</v>
      </c>
      <c r="F62">
        <v>-25.6692933</v>
      </c>
      <c r="G62">
        <v>2.7425999999999999</v>
      </c>
      <c r="H62">
        <v>7.5217999999999998</v>
      </c>
      <c r="I62" t="str">
        <f t="shared" si="0"/>
        <v>01.03.001.0.0046</v>
      </c>
      <c r="J62">
        <f>SUM(G62:G65)/4</f>
        <v>2.8485499999999999</v>
      </c>
      <c r="K62">
        <f>SUM(H62:H65)/4</f>
        <v>8.161824750000001</v>
      </c>
      <c r="L62">
        <f>SQRT(K62)</f>
        <v>2.8568907486986621</v>
      </c>
    </row>
    <row r="63" spans="1:12" x14ac:dyDescent="0.25">
      <c r="A63" t="s">
        <v>22</v>
      </c>
      <c r="B63" t="s">
        <v>10</v>
      </c>
      <c r="C63">
        <v>-53.802469840000001</v>
      </c>
      <c r="D63">
        <v>-25.669560579999999</v>
      </c>
      <c r="E63">
        <v>-53.802448130000002</v>
      </c>
      <c r="F63">
        <v>-25.669580740000001</v>
      </c>
      <c r="G63">
        <v>3.1234999999999999</v>
      </c>
      <c r="H63">
        <v>9.7564740000000008</v>
      </c>
      <c r="I63" t="str">
        <f t="shared" si="0"/>
        <v>01.03.001.0.0046</v>
      </c>
    </row>
    <row r="64" spans="1:12" x14ac:dyDescent="0.25">
      <c r="A64" t="s">
        <v>22</v>
      </c>
      <c r="B64" t="s">
        <v>11</v>
      </c>
      <c r="C64">
        <v>-53.802784099999997</v>
      </c>
      <c r="D64">
        <v>-25.670603750000001</v>
      </c>
      <c r="E64">
        <v>-53.802765299999997</v>
      </c>
      <c r="F64">
        <v>-25.670624449999998</v>
      </c>
      <c r="G64">
        <v>2.9750000000000001</v>
      </c>
      <c r="H64">
        <v>8.8507010000000008</v>
      </c>
      <c r="I64" t="str">
        <f t="shared" si="0"/>
        <v>01.03.001.0.0046</v>
      </c>
    </row>
    <row r="65" spans="1:9" x14ac:dyDescent="0.25">
      <c r="A65" t="s">
        <v>22</v>
      </c>
      <c r="B65" t="s">
        <v>12</v>
      </c>
      <c r="C65">
        <v>-53.803936110000002</v>
      </c>
      <c r="D65">
        <v>-25.670321820000002</v>
      </c>
      <c r="E65">
        <v>-53.803917009999999</v>
      </c>
      <c r="F65">
        <v>-25.670337020000002</v>
      </c>
      <c r="G65">
        <v>2.5531000000000001</v>
      </c>
      <c r="H65">
        <v>6.5183239999999998</v>
      </c>
      <c r="I65" t="str">
        <f t="shared" si="0"/>
        <v>01.03.001.0.0046</v>
      </c>
    </row>
    <row r="66" spans="1:9" x14ac:dyDescent="0.25">
      <c r="G66" s="1"/>
    </row>
    <row r="67" spans="1:9" x14ac:dyDescent="0.25">
      <c r="G67" s="1"/>
    </row>
    <row r="68" spans="1:9" x14ac:dyDescent="0.25">
      <c r="F68" t="s">
        <v>27</v>
      </c>
      <c r="G68" s="2">
        <f>COUNTA(A2:A65)</f>
        <v>64</v>
      </c>
    </row>
    <row r="69" spans="1:9" x14ac:dyDescent="0.25">
      <c r="F69" t="s">
        <v>34</v>
      </c>
      <c r="G69" s="1">
        <f>AVERAGE(G2:G65)</f>
        <v>2.7033171875000002</v>
      </c>
    </row>
    <row r="70" spans="1:9" x14ac:dyDescent="0.25">
      <c r="F70" t="s">
        <v>36</v>
      </c>
      <c r="G70" s="1">
        <f>MIN(G2:G65)</f>
        <v>0.7419</v>
      </c>
    </row>
    <row r="71" spans="1:9" x14ac:dyDescent="0.25">
      <c r="F71" t="s">
        <v>35</v>
      </c>
      <c r="G71" s="1">
        <f>MAX(G2:G65)</f>
        <v>8.7789000000000001</v>
      </c>
    </row>
    <row r="72" spans="1:9" x14ac:dyDescent="0.25">
      <c r="F72" s="4" t="s">
        <v>32</v>
      </c>
      <c r="G72" s="1">
        <f>AVERAGE(H2:H65)</f>
        <v>10.71570571875</v>
      </c>
    </row>
    <row r="73" spans="1:9" x14ac:dyDescent="0.25">
      <c r="F73" t="s">
        <v>33</v>
      </c>
      <c r="G73" s="1">
        <f>SQRT(G72)</f>
        <v>3.2734852556182377</v>
      </c>
    </row>
    <row r="74" spans="1:9" x14ac:dyDescent="0.25">
      <c r="H74" s="1"/>
    </row>
    <row r="75" spans="1:9" x14ac:dyDescent="0.25">
      <c r="H75" s="1"/>
    </row>
    <row r="80" spans="1:9" x14ac:dyDescent="0.25">
      <c r="A80" t="s">
        <v>27</v>
      </c>
      <c r="B80" s="2">
        <v>60</v>
      </c>
      <c r="I80" t="s">
        <v>27</v>
      </c>
    </row>
    <row r="81" spans="1:9" x14ac:dyDescent="0.25">
      <c r="A81" t="s">
        <v>28</v>
      </c>
      <c r="B81" s="1">
        <v>8.7789000000000001</v>
      </c>
      <c r="I81" t="s">
        <v>28</v>
      </c>
    </row>
    <row r="82" spans="1:9" x14ac:dyDescent="0.25">
      <c r="A82" t="s">
        <v>29</v>
      </c>
      <c r="B82" s="1">
        <v>0.50609999999999999</v>
      </c>
      <c r="I82" t="s">
        <v>29</v>
      </c>
    </row>
    <row r="83" spans="1:9" x14ac:dyDescent="0.25">
      <c r="A83" t="s">
        <v>30</v>
      </c>
      <c r="B83" s="1">
        <v>2.7831049999999999</v>
      </c>
      <c r="I83" t="s">
        <v>30</v>
      </c>
    </row>
    <row r="84" spans="1:9" x14ac:dyDescent="0.25">
      <c r="A84" t="s">
        <v>24</v>
      </c>
      <c r="B84" s="1">
        <v>11.964745599999997</v>
      </c>
      <c r="I84" t="s">
        <v>24</v>
      </c>
    </row>
    <row r="85" spans="1:9" x14ac:dyDescent="0.25">
      <c r="A85" t="s">
        <v>31</v>
      </c>
      <c r="B85" s="1">
        <v>3.4590093379463429</v>
      </c>
      <c r="I85" t="s">
        <v>31</v>
      </c>
    </row>
    <row r="89" spans="1:9" x14ac:dyDescent="0.25">
      <c r="G89">
        <v>0.81589999999999996</v>
      </c>
    </row>
    <row r="90" spans="1:9" x14ac:dyDescent="0.25">
      <c r="G90">
        <v>0.97560000000000002</v>
      </c>
    </row>
    <row r="91" spans="1:9" x14ac:dyDescent="0.25">
      <c r="G91">
        <v>1.1747000000000001</v>
      </c>
    </row>
    <row r="92" spans="1:9" x14ac:dyDescent="0.25">
      <c r="G92">
        <v>0.99439999999999995</v>
      </c>
    </row>
    <row r="93" spans="1:9" x14ac:dyDescent="0.25">
      <c r="F93" t="s">
        <v>32</v>
      </c>
      <c r="G93">
        <f>AVERAGE(H34:H37)</f>
        <v>2.5547772499999999</v>
      </c>
    </row>
    <row r="94" spans="1:9" x14ac:dyDescent="0.25">
      <c r="G94">
        <f>SQRT(G93)</f>
        <v>1.5983670573432123</v>
      </c>
    </row>
  </sheetData>
  <autoFilter ref="A1:H61" xr:uid="{4DD1A1A3-6C58-4C7C-9C4C-CA2B369AF196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C6E3E-B3A4-4BB4-A79C-26F79537A77A}">
  <dimension ref="A3:D40"/>
  <sheetViews>
    <sheetView tabSelected="1" topLeftCell="A3" workbookViewId="0">
      <selection activeCell="A27" sqref="A27"/>
    </sheetView>
  </sheetViews>
  <sheetFormatPr defaultRowHeight="15" x14ac:dyDescent="0.25"/>
  <cols>
    <col min="1" max="1" width="15.42578125" bestFit="1" customWidth="1"/>
    <col min="2" max="2" width="10.42578125" bestFit="1" customWidth="1"/>
    <col min="3" max="4" width="12" bestFit="1" customWidth="1"/>
  </cols>
  <sheetData>
    <row r="3" spans="1:4" x14ac:dyDescent="0.25">
      <c r="A3" s="7"/>
      <c r="B3" s="7"/>
      <c r="C3" s="7"/>
      <c r="D3" s="7"/>
    </row>
    <row r="4" spans="1:4" x14ac:dyDescent="0.25">
      <c r="A4" s="3" t="s">
        <v>0</v>
      </c>
      <c r="B4" s="3" t="s">
        <v>25</v>
      </c>
      <c r="C4" s="3" t="s">
        <v>24</v>
      </c>
      <c r="D4" s="3" t="s">
        <v>26</v>
      </c>
    </row>
    <row r="5" spans="1:4" x14ac:dyDescent="0.25">
      <c r="A5" t="s">
        <v>15</v>
      </c>
      <c r="B5" s="8">
        <v>0.9859</v>
      </c>
      <c r="C5" s="8">
        <v>1.0073695</v>
      </c>
      <c r="D5" s="8">
        <v>1.0036779862087242</v>
      </c>
    </row>
    <row r="6" spans="1:4" x14ac:dyDescent="0.25">
      <c r="A6" t="s">
        <v>41</v>
      </c>
      <c r="B6" s="8">
        <v>0.98835000000000006</v>
      </c>
      <c r="C6" s="8">
        <v>0.99178125000000006</v>
      </c>
      <c r="D6" s="8">
        <v>0.99588214664186048</v>
      </c>
    </row>
    <row r="7" spans="1:4" x14ac:dyDescent="0.25">
      <c r="A7" t="s">
        <v>40</v>
      </c>
      <c r="B7" s="8">
        <v>1.3263750000000001</v>
      </c>
      <c r="C7" s="8">
        <v>1.774564</v>
      </c>
      <c r="D7" s="8">
        <v>1.3321276215137947</v>
      </c>
    </row>
    <row r="8" spans="1:4" x14ac:dyDescent="0.25">
      <c r="A8" t="s">
        <v>18</v>
      </c>
      <c r="B8" s="8">
        <v>1.5765750000000001</v>
      </c>
      <c r="C8" s="8">
        <v>2.5547772499999999</v>
      </c>
      <c r="D8" s="8">
        <v>1.5983670573432123</v>
      </c>
    </row>
    <row r="9" spans="1:4" x14ac:dyDescent="0.25">
      <c r="A9" t="s">
        <v>13</v>
      </c>
      <c r="B9" s="8">
        <v>1.6662250000000001</v>
      </c>
      <c r="C9" s="8">
        <v>2.8014427500000001</v>
      </c>
      <c r="D9" s="8">
        <v>1.673751101567972</v>
      </c>
    </row>
    <row r="10" spans="1:4" x14ac:dyDescent="0.25">
      <c r="A10" t="s">
        <v>39</v>
      </c>
      <c r="B10" s="8">
        <v>1.8355000000000001</v>
      </c>
      <c r="C10" s="8">
        <v>3.5800572500000003</v>
      </c>
      <c r="D10" s="8">
        <v>1.8921039215645636</v>
      </c>
    </row>
    <row r="11" spans="1:4" x14ac:dyDescent="0.25">
      <c r="A11" t="s">
        <v>20</v>
      </c>
      <c r="B11" s="8">
        <v>2.19015</v>
      </c>
      <c r="C11" s="8">
        <v>5.1813849999999997</v>
      </c>
      <c r="D11" s="8">
        <v>2.2762655820444149</v>
      </c>
    </row>
    <row r="12" spans="1:4" x14ac:dyDescent="0.25">
      <c r="A12" t="s">
        <v>16</v>
      </c>
      <c r="B12" s="8">
        <v>2.2550249999999998</v>
      </c>
      <c r="C12" s="8">
        <v>5.1374587500000004</v>
      </c>
      <c r="D12" s="8">
        <v>2.2665962917996669</v>
      </c>
    </row>
    <row r="13" spans="1:4" x14ac:dyDescent="0.25">
      <c r="A13" t="s">
        <v>8</v>
      </c>
      <c r="B13" s="8">
        <v>2.3358250000000003</v>
      </c>
      <c r="C13" s="8">
        <v>5.8751220000000002</v>
      </c>
      <c r="D13" s="8">
        <v>2.423865095255922</v>
      </c>
    </row>
    <row r="14" spans="1:4" x14ac:dyDescent="0.25">
      <c r="A14" t="s">
        <v>14</v>
      </c>
      <c r="B14" s="8">
        <v>2.4419250000000003</v>
      </c>
      <c r="C14" s="8">
        <v>5.9707152500000005</v>
      </c>
      <c r="D14" s="8">
        <v>2.4435047063592901</v>
      </c>
    </row>
    <row r="15" spans="1:4" x14ac:dyDescent="0.25">
      <c r="A15" t="s">
        <v>21</v>
      </c>
      <c r="B15" s="8">
        <v>2.5372750000000002</v>
      </c>
      <c r="C15" s="8">
        <v>7.5746712499999997</v>
      </c>
      <c r="D15" s="8">
        <v>2.7522120648670954</v>
      </c>
    </row>
    <row r="16" spans="1:4" x14ac:dyDescent="0.25">
      <c r="A16" t="s">
        <v>22</v>
      </c>
      <c r="B16" s="8">
        <v>2.8485499999999999</v>
      </c>
      <c r="C16" s="8">
        <v>8.161824750000001</v>
      </c>
      <c r="D16" s="8">
        <v>2.8568907486986621</v>
      </c>
    </row>
    <row r="17" spans="1:4" x14ac:dyDescent="0.25">
      <c r="A17" t="s">
        <v>23</v>
      </c>
      <c r="B17" s="8">
        <v>3.0428000000000002</v>
      </c>
      <c r="C17" s="8">
        <v>9.8213404999999998</v>
      </c>
      <c r="D17" s="8">
        <v>3.1339018012694653</v>
      </c>
    </row>
    <row r="18" spans="1:4" x14ac:dyDescent="0.25">
      <c r="A18" t="s">
        <v>19</v>
      </c>
      <c r="B18" s="8">
        <v>3.8495749999999997</v>
      </c>
      <c r="C18" s="8">
        <v>14.905967749999999</v>
      </c>
      <c r="D18" s="8">
        <v>3.8608247499724717</v>
      </c>
    </row>
    <row r="19" spans="1:4" x14ac:dyDescent="0.25">
      <c r="A19" t="s">
        <v>38</v>
      </c>
      <c r="B19" s="8">
        <v>4.8634249999999994</v>
      </c>
      <c r="C19" s="8">
        <v>23.65660175</v>
      </c>
      <c r="D19" s="8">
        <v>4.8638052746794873</v>
      </c>
    </row>
    <row r="20" spans="1:4" x14ac:dyDescent="0.25">
      <c r="A20" t="s">
        <v>17</v>
      </c>
      <c r="B20" s="8">
        <v>8.5095999999999989</v>
      </c>
      <c r="C20" s="8">
        <v>72.456212500000007</v>
      </c>
      <c r="D20" s="8">
        <v>8.5121215040670091</v>
      </c>
    </row>
    <row r="21" spans="1:4" x14ac:dyDescent="0.25">
      <c r="B21" s="5"/>
      <c r="C21" s="5"/>
      <c r="D21" s="5"/>
    </row>
    <row r="22" spans="1:4" x14ac:dyDescent="0.25">
      <c r="B22" s="5"/>
      <c r="C22" s="5"/>
      <c r="D22" s="5"/>
    </row>
    <row r="23" spans="1:4" x14ac:dyDescent="0.25">
      <c r="B23" s="5"/>
      <c r="C23" s="5"/>
      <c r="D23" s="5"/>
    </row>
    <row r="24" spans="1:4" x14ac:dyDescent="0.25">
      <c r="A24" t="s">
        <v>27</v>
      </c>
      <c r="B24" s="5">
        <f>COUNTA(B5:B20)</f>
        <v>16</v>
      </c>
      <c r="C24" s="5"/>
      <c r="D24" s="5"/>
    </row>
    <row r="25" spans="1:4" x14ac:dyDescent="0.25">
      <c r="A25" t="s">
        <v>42</v>
      </c>
      <c r="B25" s="5">
        <f>COUNTIF(B5:B20,"&lt;5")</f>
        <v>15</v>
      </c>
      <c r="C25" s="5"/>
      <c r="D25" s="5"/>
    </row>
    <row r="26" spans="1:4" x14ac:dyDescent="0.25">
      <c r="A26" t="s">
        <v>37</v>
      </c>
      <c r="B26" s="5">
        <f>B25/B24</f>
        <v>0.9375</v>
      </c>
      <c r="C26" s="5"/>
      <c r="D26" s="5"/>
    </row>
    <row r="27" spans="1:4" x14ac:dyDescent="0.25">
      <c r="B27" s="5"/>
      <c r="C27" s="5"/>
      <c r="D27" s="5"/>
    </row>
    <row r="28" spans="1:4" x14ac:dyDescent="0.25">
      <c r="B28" s="5"/>
      <c r="C28" s="5"/>
      <c r="D28" s="5"/>
    </row>
    <row r="29" spans="1:4" x14ac:dyDescent="0.25">
      <c r="B29" s="5"/>
      <c r="C29" s="5"/>
      <c r="D29" s="5"/>
    </row>
    <row r="30" spans="1:4" x14ac:dyDescent="0.25">
      <c r="B30" s="5"/>
      <c r="C30" s="5"/>
      <c r="D30" s="5"/>
    </row>
    <row r="31" spans="1:4" x14ac:dyDescent="0.25">
      <c r="B31" s="5"/>
      <c r="C31" s="5"/>
      <c r="D31" s="5"/>
    </row>
    <row r="32" spans="1:4" x14ac:dyDescent="0.25">
      <c r="B32" s="5"/>
      <c r="C32" s="5"/>
      <c r="D32" s="5"/>
    </row>
    <row r="33" spans="2:4" x14ac:dyDescent="0.25">
      <c r="B33" s="1"/>
      <c r="C33" s="1"/>
      <c r="D33" s="1"/>
    </row>
    <row r="34" spans="2:4" x14ac:dyDescent="0.25">
      <c r="B34" s="1"/>
      <c r="C34" s="1"/>
      <c r="D34" s="1"/>
    </row>
    <row r="35" spans="2:4" x14ac:dyDescent="0.25">
      <c r="B35" s="1"/>
      <c r="C35" s="6"/>
      <c r="D35" s="1"/>
    </row>
    <row r="36" spans="2:4" x14ac:dyDescent="0.25">
      <c r="B36" s="1"/>
      <c r="C36" s="1"/>
      <c r="D36" s="1"/>
    </row>
    <row r="37" spans="2:4" x14ac:dyDescent="0.25">
      <c r="B37" s="1"/>
      <c r="C37" s="1"/>
      <c r="D37" s="1"/>
    </row>
    <row r="38" spans="2:4" x14ac:dyDescent="0.25">
      <c r="B38" s="1"/>
      <c r="C38" s="1"/>
      <c r="D38" s="1"/>
    </row>
    <row r="39" spans="2:4" x14ac:dyDescent="0.25">
      <c r="B39" s="1"/>
      <c r="C39" s="1"/>
      <c r="D39" s="1"/>
    </row>
    <row r="40" spans="2:4" x14ac:dyDescent="0.25">
      <c r="B40" s="1"/>
      <c r="C40" s="1"/>
      <c r="D40" s="1"/>
    </row>
  </sheetData>
  <sortState xmlns:xlrd2="http://schemas.microsoft.com/office/spreadsheetml/2017/richdata2" ref="A5:D68">
    <sortCondition ref="B5:B68"/>
  </sortState>
  <mergeCells count="1">
    <mergeCell ref="A3:D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Memoria_Calculo_Vértices_BR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Marco Aurélio Barbiero</cp:lastModifiedBy>
  <dcterms:created xsi:type="dcterms:W3CDTF">2026-03-05T19:33:54Z</dcterms:created>
  <dcterms:modified xsi:type="dcterms:W3CDTF">2026-03-08T13:08:02Z</dcterms:modified>
</cp:coreProperties>
</file>